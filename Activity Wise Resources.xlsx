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4" activeTab="9"/>
  </bookViews>
  <sheets>
    <sheet name="sheet1" sheetId="1" r:id="rId1"/>
    <sheet name="Site Office Establishment" sheetId="2" r:id="rId2"/>
    <sheet name="EHS" sheetId="4" r:id="rId3"/>
    <sheet name="P&amp;M" sheetId="5" r:id="rId4"/>
    <sheet name="Labour Camp" sheetId="6" r:id="rId5"/>
    <sheet name="QAQC" sheetId="7" r:id="rId6"/>
    <sheet name="Test" sheetId="8" r:id="rId7"/>
    <sheet name="Repair &amp; Maintenance" sheetId="9" r:id="rId8"/>
    <sheet name="Sotre &amp; Purchase " sheetId="11" r:id="rId9"/>
    <sheet name="Tower-1" sheetId="13" r:id="rId10"/>
    <sheet name="sheet1 (4)" sheetId="12" r:id="rId11"/>
    <sheet name="sheet1 (3)" sheetId="3" r:id="rId12"/>
  </sheets>
  <definedNames>
    <definedName name="_xlnm._FilterDatabase" localSheetId="0" hidden="1">sheet1!$A$1:$J$1675</definedName>
    <definedName name="_xlnm._FilterDatabase" localSheetId="1" hidden="1">'Site Office Establishment'!$A$3:$J$259</definedName>
    <definedName name="_xlnm._FilterDatabase" localSheetId="11" hidden="1">'sheet1 (3)'!$A$2:$J$506</definedName>
    <definedName name="_xlnm._FilterDatabase" localSheetId="2" hidden="1">EHS!$A$3:$J$68</definedName>
    <definedName name="_xlnm._FilterDatabase" localSheetId="3" hidden="1">'P&amp;M'!$A$3:$J$15</definedName>
    <definedName name="_xlnm._FilterDatabase" localSheetId="4" hidden="1">'Labour Camp'!$A$3:$J$4</definedName>
    <definedName name="_xlnm._FilterDatabase" localSheetId="5" hidden="1">QAQC!$A$3:$J$29</definedName>
    <definedName name="_xlnm._FilterDatabase" localSheetId="6" hidden="1">Test!$A$3:$J$31</definedName>
    <definedName name="_xlnm._FilterDatabase" localSheetId="7" hidden="1">'Repair &amp; Maintenance'!$A$3:$J$51</definedName>
    <definedName name="_xlnm._FilterDatabase" localSheetId="8" hidden="1">'Sotre &amp; Purchase '!$A$3:$J$71</definedName>
    <definedName name="_xlnm._FilterDatabase" localSheetId="10" hidden="1">'sheet1 (4)'!$A$4:$J$1030</definedName>
    <definedName name="_xlnm._FilterDatabase" localSheetId="9" hidden="1">'Tower-1'!$A$3:$J$197</definedName>
    <definedName name="_xlnm.Print_Area" localSheetId="8">'Sotre &amp; Purchase '!$A$1:$J$73</definedName>
    <definedName name="_xlnm.Print_Area" localSheetId="9">'Tower-1'!$A$1:$J$197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<sst xmlns="http://schemas.openxmlformats.org/spreadsheetml/2006/main" count="20906" uniqueCount="1157">
  <si>
    <t>ACTIVITY CODE</t>
  </si>
  <si>
    <t>ACTIVITY NAME</t>
  </si>
  <si>
    <t>RESOURCE TYPE</t>
  </si>
  <si>
    <t>RESOURCE GROUP</t>
  </si>
  <si>
    <t>RESOURCE NAME</t>
  </si>
  <si>
    <t>UNITS</t>
  </si>
  <si>
    <t>QTY</t>
  </si>
  <si>
    <t>RATE</t>
  </si>
  <si>
    <t>AMOUNT</t>
  </si>
  <si>
    <t>S038-Indirect Works--A02</t>
  </si>
  <si>
    <t>Loading &amp; Unloading</t>
  </si>
  <si>
    <t>Service</t>
  </si>
  <si>
    <t>Departmental Labour</t>
  </si>
  <si>
    <t>Supply of Male Coolie</t>
  </si>
  <si>
    <t>DAY</t>
  </si>
  <si>
    <t>Supply of Mason</t>
  </si>
  <si>
    <t>Loading &amp; Unloading - Reinforcement Steel</t>
  </si>
  <si>
    <t>MT</t>
  </si>
  <si>
    <t>S038-Indirect Works--A03</t>
  </si>
  <si>
    <t>Site Establishment Works</t>
  </si>
  <si>
    <t>Material</t>
  </si>
  <si>
    <t>ASSET</t>
  </si>
  <si>
    <t>FIBER MOBILE TOILET FOR LABOUR</t>
  </si>
  <si>
    <t>NOS</t>
  </si>
  <si>
    <t>Conventional Formwork</t>
  </si>
  <si>
    <t>Supply of Carpenter</t>
  </si>
  <si>
    <t>Supply of Carpenter Helper</t>
  </si>
  <si>
    <t>Supply of Female Coolie</t>
  </si>
  <si>
    <t>Supply Of Supervisor</t>
  </si>
  <si>
    <t>Establishment Work</t>
  </si>
  <si>
    <t>Establishment of Labour Hutment</t>
  </si>
  <si>
    <t>Fabrication Works for Site Establishment and Misc Works</t>
  </si>
  <si>
    <t>LS</t>
  </si>
  <si>
    <t>Fixing of GI Sheets for Site Establishment Works</t>
  </si>
  <si>
    <t>SQM</t>
  </si>
  <si>
    <t>Equipment</t>
  </si>
  <si>
    <t>Hiring</t>
  </si>
  <si>
    <t>Poclain Ex-120 (Bucket)</t>
  </si>
  <si>
    <t>HRS</t>
  </si>
  <si>
    <t>Vibrator Roller (Day)</t>
  </si>
  <si>
    <t>Miscellaneous Works</t>
  </si>
  <si>
    <t>Site Side Barrigation Work</t>
  </si>
  <si>
    <t>RMT</t>
  </si>
  <si>
    <t>Transportation</t>
  </si>
  <si>
    <t>P - Aggregate/Rubble</t>
  </si>
  <si>
    <t>Aggregate 20 mm</t>
  </si>
  <si>
    <t>BRASS</t>
  </si>
  <si>
    <t>P - Binding Wire</t>
  </si>
  <si>
    <t>GI Binding wire</t>
  </si>
  <si>
    <t>KGS</t>
  </si>
  <si>
    <t>MS Binding wire</t>
  </si>
  <si>
    <t>P - Bricks</t>
  </si>
  <si>
    <t>Fly Ash Bricks 4"</t>
  </si>
  <si>
    <t>Fly Ash Bricks 6"</t>
  </si>
  <si>
    <t>Fly Ash Bricks 9"</t>
  </si>
  <si>
    <t>P - Cement</t>
  </si>
  <si>
    <t>Cement OPC 53 Grade (50 Kg)</t>
  </si>
  <si>
    <t>BAG</t>
  </si>
  <si>
    <t>Cement PPC Grade (50 Kg)</t>
  </si>
  <si>
    <t>P - Concrete Repairing Mortars</t>
  </si>
  <si>
    <t>Gp2 Conbextra MakeFosroc</t>
  </si>
  <si>
    <t>P - Consumable Other</t>
  </si>
  <si>
    <t>BLACK OIL PAINT</t>
  </si>
  <si>
    <t>LTR</t>
  </si>
  <si>
    <t>Concrete Tray MS 4'X6'</t>
  </si>
  <si>
    <t>GI Chain 8MM</t>
  </si>
  <si>
    <t>HDPE Tarpaulin Sheet 250gsm Black/Blue Std 18'x24'</t>
  </si>
  <si>
    <t>HDPE Tarpaulin Sheet 250gsm Black/Blue Std 18'x36'</t>
  </si>
  <si>
    <t>M S Ghamela</t>
  </si>
  <si>
    <t>Ms Spade With Handle (Make:Tata)</t>
  </si>
  <si>
    <t>Ms Thapi (Trowel)</t>
  </si>
  <si>
    <t>Pad Lock 50MM Std</t>
  </si>
  <si>
    <t>Paint Brush 4"</t>
  </si>
  <si>
    <t>Paint Spray (400ml/Pack)</t>
  </si>
  <si>
    <t>Red Oil Paint Berger</t>
  </si>
  <si>
    <t>Red Oxide Paint Berger</t>
  </si>
  <si>
    <t>Self Taping Screw 1"</t>
  </si>
  <si>
    <t>Self Taping Screw 2"</t>
  </si>
  <si>
    <t>Shuttering Grease (Batata)</t>
  </si>
  <si>
    <t>SMOKE GRAY PAINT</t>
  </si>
  <si>
    <t>Thinner</t>
  </si>
  <si>
    <t>Turpentine Oil Gp</t>
  </si>
  <si>
    <t>Wheel Barrow Power Make</t>
  </si>
  <si>
    <t>WHITE OIL PAINT</t>
  </si>
  <si>
    <t>P - Consumable Shuttering</t>
  </si>
  <si>
    <t>Nails 1.5" 12g</t>
  </si>
  <si>
    <t>Nails 2" 12g</t>
  </si>
  <si>
    <t>Nails 2.5" 10g</t>
  </si>
  <si>
    <t>Nails 3" 10g</t>
  </si>
  <si>
    <t>Nails 4" 10g</t>
  </si>
  <si>
    <t>Shuttering Oil</t>
  </si>
  <si>
    <t>P - Establishment Material</t>
  </si>
  <si>
    <t>GI Precoated Sheet 3'x10' 0.5mm THK</t>
  </si>
  <si>
    <t>GI Precoated Sheet 3'x12' 0.5mm THK</t>
  </si>
  <si>
    <t>GI Precoated Sheet 4'x10' 0.5mm THK</t>
  </si>
  <si>
    <t>GI PRECOATED SHEET 4'X14' 0.50MM THK</t>
  </si>
  <si>
    <t>MS Hinges 4"</t>
  </si>
  <si>
    <t>MS Lock Patti 2"</t>
  </si>
  <si>
    <t>P - Flooring &amp; Dado</t>
  </si>
  <si>
    <t>Kadappa</t>
  </si>
  <si>
    <t>SFT</t>
  </si>
  <si>
    <t>Shahabad Stone</t>
  </si>
  <si>
    <t>P - Murrum</t>
  </si>
  <si>
    <t>Murrum</t>
  </si>
  <si>
    <t>P - Polythene &amp; LDPE Sheet</t>
  </si>
  <si>
    <t>Polythene Sheet 250 Micron</t>
  </si>
  <si>
    <t>P -  Ready Mix Concrete</t>
  </si>
  <si>
    <t>RMC M-10</t>
  </si>
  <si>
    <t>CUM</t>
  </si>
  <si>
    <t>RMC M-20</t>
  </si>
  <si>
    <t>RMC M-30</t>
  </si>
  <si>
    <t>RMC M-7.5</t>
  </si>
  <si>
    <t>P - Sand</t>
  </si>
  <si>
    <t>Crushed Sand</t>
  </si>
  <si>
    <t>P - Structural Steel</t>
  </si>
  <si>
    <t>GI CHAINLINK 50X50MM</t>
  </si>
  <si>
    <t>GI PLATE</t>
  </si>
  <si>
    <t>ISMB 125X70MM</t>
  </si>
  <si>
    <t>M.S. ANGLE 75X75X6mm</t>
  </si>
  <si>
    <t>MS CHANNEL 150x75MM</t>
  </si>
  <si>
    <t>MS CHANNEL 200x75MM</t>
  </si>
  <si>
    <t>MS CHANNEL 75X40mm</t>
  </si>
  <si>
    <t>MS CHEQUER PLATE 8' X 4'</t>
  </si>
  <si>
    <t>MS FOUNDATION BOLT 12 X 250MM</t>
  </si>
  <si>
    <t>MS PLATE 8MM THICK</t>
  </si>
  <si>
    <t>MS ROUND PIPE OD 50MM  (3 MM THICK)</t>
  </si>
  <si>
    <t>MS SQUARE PIPE 40X40X2MM</t>
  </si>
  <si>
    <t>MS SQUARE PIPE 40X40X3MM</t>
  </si>
  <si>
    <t>MS SQUARE PIPE 50X50X3mm</t>
  </si>
  <si>
    <t>Roofing &amp; Cladding Works</t>
  </si>
  <si>
    <t>P&amp;F GI Sheet for Cladding &amp; Roofing</t>
  </si>
  <si>
    <t>Structural steel work</t>
  </si>
  <si>
    <t>Labour for Structure Steel</t>
  </si>
  <si>
    <t>TANKS</t>
  </si>
  <si>
    <t>Water Tank - PVC Triple Layer</t>
  </si>
  <si>
    <t>Window Works</t>
  </si>
  <si>
    <t>P&amp;F Alum. Powder Coated Glazed Sliding Windows (Two Track)</t>
  </si>
  <si>
    <t>S038-Indirect Works--A05</t>
  </si>
  <si>
    <t>Site Electrification Works</t>
  </si>
  <si>
    <t>EXHAUST FAN</t>
  </si>
  <si>
    <t>MANUAL CHANGE-OVER + DISTRIBUTION PANEL IP67 GRADE</t>
  </si>
  <si>
    <t>Plier NOSE Taparia</t>
  </si>
  <si>
    <t>Screw Driver 18" - 931 (Flat Head)</t>
  </si>
  <si>
    <t>SCREW DRIVER SET</t>
  </si>
  <si>
    <t>SET</t>
  </si>
  <si>
    <t>Spanner SET Patti 8 - 32mm</t>
  </si>
  <si>
    <t>Spanner SET Ring 8 - 32mm</t>
  </si>
  <si>
    <t>P - Electrical Material</t>
  </si>
  <si>
    <t>100A 4 Pole 415v Manual Change Over Switch.</t>
  </si>
  <si>
    <t>10 Sqmm Cu Single Core Flexible Cable Green</t>
  </si>
  <si>
    <t>1200mm Ceiling Fan.</t>
  </si>
  <si>
    <t>120 SQMM X 3.5 CORE ALLU. ARMOURED CABLE</t>
  </si>
  <si>
    <t>12 Modular Square Box</t>
  </si>
  <si>
    <t>12 Modular Surface Box</t>
  </si>
  <si>
    <t>12 WAY SPN METAL BOX</t>
  </si>
  <si>
    <t>150MM CABLE TIE</t>
  </si>
  <si>
    <t>1.5 Sqmm Cu 3 Core Flexible Cable</t>
  </si>
  <si>
    <t>1.5 Sqmm Cu Single Core Wire H/W   Blue</t>
  </si>
  <si>
    <t>1.5 Sqmm Cu Single Core  Wire H/W Green</t>
  </si>
  <si>
    <t>1.5 Sqmm Cu Single Core Wire H/W Red</t>
  </si>
  <si>
    <t>16A 3 Pin PVC Industrial Plug Top</t>
  </si>
  <si>
    <t>16A 3 Pin PVC Industrial Socket</t>
  </si>
  <si>
    <t>16A 5 Pin PVC Industrial Plug Top</t>
  </si>
  <si>
    <t>16A 5 Pin PVC Industrial Socket</t>
  </si>
  <si>
    <t>16 SQMM X 4 CORE COPPER FLEXIBLE CABLE</t>
  </si>
  <si>
    <t>185 SQMM X 3.5 CORE ALU. ARMOURED CABLE</t>
  </si>
  <si>
    <t>1 Sqmm Cu Single Core Wire  Blue</t>
  </si>
  <si>
    <t>1 Sqmm Cu Single Core Wire Green</t>
  </si>
  <si>
    <t>1 Sqmm Cu Single Core Wire Red</t>
  </si>
  <si>
    <t>200 Watt LED Flood Light</t>
  </si>
  <si>
    <t>20MM PVC 1WAY SURFACE JUNCTION BOX</t>
  </si>
  <si>
    <t>20mm PVC 2way Surface Junction Box.</t>
  </si>
  <si>
    <t>20mm PVC 3way Surface Junction Box.</t>
  </si>
  <si>
    <t>20 Watt LED Tube Light</t>
  </si>
  <si>
    <t>250MM CABLE TIE</t>
  </si>
  <si>
    <t>PKT</t>
  </si>
  <si>
    <t>25 Sqmm 3.5 Core Alu Armd Cable</t>
  </si>
  <si>
    <t>2.5 Sqmm Cu 3 core Flexible Cable</t>
  </si>
  <si>
    <t>2.5 Sqmm Cu 4 core Flexible Cable</t>
  </si>
  <si>
    <t>2.5 Sqmm Single Core Cu Wire Blue</t>
  </si>
  <si>
    <t>2.5 Sqmm Single Core Cu Wire Green</t>
  </si>
  <si>
    <t>2.5 Sqmm Single Core Cu Wire Red</t>
  </si>
  <si>
    <t>2.5 SQMM X 4 CORE ALLU. ARMOURED CABLE</t>
  </si>
  <si>
    <t>300MM CABLE TIE</t>
  </si>
  <si>
    <t>32A 5 Pin PVC Industrial Plug Top</t>
  </si>
  <si>
    <t>32A 5 Pin PVC Industrial Socket</t>
  </si>
  <si>
    <t>35 SQMM X 3.5 CORE ALU. ARMOURED CABLE</t>
  </si>
  <si>
    <t>4 Sqmm 5 Core Cu Flexible cable</t>
  </si>
  <si>
    <t>4 Sqmm Cu 3 core Flexible Cable Flat</t>
  </si>
  <si>
    <t>4 SQMM X 4 CORE COPPER FLEXIBLE CABLE</t>
  </si>
  <si>
    <t>4 SQMM X 6 CORE COPPER FLEXIBLE CABLE</t>
  </si>
  <si>
    <t>4 Way PVC Gang Box.</t>
  </si>
  <si>
    <t>6 Moduler Plate</t>
  </si>
  <si>
    <t>6 SQMM CU 6 CORE FLEXIBLE CABLE</t>
  </si>
  <si>
    <t>70 Sqmm  3.5 core Alu Armd Cable.</t>
  </si>
  <si>
    <t>8 Way PVC Gang Box.</t>
  </si>
  <si>
    <t>95 SQMM X 3.5 CORE ALU. ARMOURED CABLE</t>
  </si>
  <si>
    <t>ALLU.LUGS 185 MM</t>
  </si>
  <si>
    <t>ALUMINIUM 10 SQMM LUGS STD</t>
  </si>
  <si>
    <t>Aluminium 120 sqmm Lugs Std</t>
  </si>
  <si>
    <t>ALUMINIUM 16 SQMM LUGS STD</t>
  </si>
  <si>
    <t>ALUMINIUM 35 SQMM LUGS STD</t>
  </si>
  <si>
    <t>Aluminium 50 Sqmm Lugs Std</t>
  </si>
  <si>
    <t>Aluminium 70 Sqmm Lugs Std</t>
  </si>
  <si>
    <t>Aluminium 95 Sqmm Lugs Std</t>
  </si>
  <si>
    <t>ALUMINIUM LUG 25MM STD</t>
  </si>
  <si>
    <t>Angle Holder</t>
  </si>
  <si>
    <t>CABIN FAN</t>
  </si>
  <si>
    <t>Combination  Plier</t>
  </si>
  <si>
    <t>COMBINED ELECTRICAL SWITCH SOCKET 6-16 AMP  WITH BOX</t>
  </si>
  <si>
    <t>CONTACTOR 25 AMP 4 POLE</t>
  </si>
  <si>
    <t>COPPER LUGS 10SQMM</t>
  </si>
  <si>
    <t>COPPER LUGS 2.5 MM</t>
  </si>
  <si>
    <t>COPPER LUGS 4.0 MM</t>
  </si>
  <si>
    <t>CT COIL 300/5A</t>
  </si>
  <si>
    <t>Digital Clamp Meter</t>
  </si>
  <si>
    <t>DIGITAL MULTIMETER</t>
  </si>
  <si>
    <t>DISTRIBUTION PANEL IP 65 (WALL MOUNTING SOCKET PANEL)</t>
  </si>
  <si>
    <t>Fan Regulator</t>
  </si>
  <si>
    <t>GI Cable Gland 2"</t>
  </si>
  <si>
    <t>GI EARTHING STRIP 25X5MM</t>
  </si>
  <si>
    <t>HRC FUSE 400 AMP</t>
  </si>
  <si>
    <t>Insulation Tape</t>
  </si>
  <si>
    <t>Junction Box 4 Way Surface</t>
  </si>
  <si>
    <t>LED BULKHEAD LIGHT 12W</t>
  </si>
  <si>
    <t>LED SQUARE 15W</t>
  </si>
  <si>
    <t>MCB 20AMP SINGLE POLE</t>
  </si>
  <si>
    <t>MCB 32A 3 Pole</t>
  </si>
  <si>
    <t>MCB 40AMP 2 POLE</t>
  </si>
  <si>
    <t>MCCB 64A 4 Pole</t>
  </si>
  <si>
    <t>PIPE WRENCH 18" (450MM)</t>
  </si>
  <si>
    <t>PIPE WRENCH 36" (900MM)</t>
  </si>
  <si>
    <t>PVC CABLE GLAND PG-11 5-10MM</t>
  </si>
  <si>
    <t>PVC CABLE GLAND PG-13.5 6-12MM</t>
  </si>
  <si>
    <t>PVC CABLE GLAND PG-16 10-14MM</t>
  </si>
  <si>
    <t>PVC CABLE GLAND PG-21 13-18MM</t>
  </si>
  <si>
    <t>PVC CABLE GLAND PG-48 34-44MM</t>
  </si>
  <si>
    <t>PVC Conduit pipe 20mm</t>
  </si>
  <si>
    <t>PVC FLEXIBLE PIPE 20MM</t>
  </si>
  <si>
    <t>PVC FLEXIBLE PIPE 25MM</t>
  </si>
  <si>
    <t>PVC MCB ENCLOSURE BOX 1/2 POLE</t>
  </si>
  <si>
    <t>PVC MODULAR GANG BOX 6</t>
  </si>
  <si>
    <t>RCCB 25A 2 POLE</t>
  </si>
  <si>
    <t>RCCB 40A 2 Pole</t>
  </si>
  <si>
    <t>RCCB 40A 4 Pole</t>
  </si>
  <si>
    <t>RCCB 63A 4 Pole</t>
  </si>
  <si>
    <t>RUBBER MATT- 3 MM</t>
  </si>
  <si>
    <t>RUBBER MATT 5MM</t>
  </si>
  <si>
    <t>SERVICE WIRE ALLU. 10 SQMM 3 CORE</t>
  </si>
  <si>
    <t>Socket 6A</t>
  </si>
  <si>
    <t>SOLAR LIGHT 200W</t>
  </si>
  <si>
    <t>S.S.CABLE GLAND 28 MM</t>
  </si>
  <si>
    <t>S.S.CABLE GLAND 32 MM</t>
  </si>
  <si>
    <t>S.S.CABLE GLAND 35 MM</t>
  </si>
  <si>
    <t>S.S.CABLE GLAND 38 MM</t>
  </si>
  <si>
    <t>S S CABLE GLAND 45 MM</t>
  </si>
  <si>
    <t>S.S.CABLE GLAND 50MM</t>
  </si>
  <si>
    <t>S.S.CABLE GLAND 57 MM</t>
  </si>
  <si>
    <t>SS SCREW 8 X 15</t>
  </si>
  <si>
    <t>STREET LIGHT POLE</t>
  </si>
  <si>
    <t>SUB METER 3 PHASE</t>
  </si>
  <si>
    <t>Switch 6A</t>
  </si>
  <si>
    <t>Tester</t>
  </si>
  <si>
    <t>THREE PHASE STARTER 13-22A RELAY</t>
  </si>
  <si>
    <t>Waterproof Tape Std</t>
  </si>
  <si>
    <t>P - Repair &amp; Maintenance Material</t>
  </si>
  <si>
    <t>INDICATOR LIGHT 220V AC</t>
  </si>
  <si>
    <t>MASTER CONTROLLER</t>
  </si>
  <si>
    <t>P - Safety Material</t>
  </si>
  <si>
    <t>SAFETY ELECTRICAL HANDGLOVES</t>
  </si>
  <si>
    <t>PAIR</t>
  </si>
  <si>
    <t>RCC PIPES</t>
  </si>
  <si>
    <t>RCC Pipe 150mm Dia NP2 Class (2 Mtr Each)</t>
  </si>
  <si>
    <t>S038-Indirect Works--A06</t>
  </si>
  <si>
    <t>Site Plumbing Works</t>
  </si>
  <si>
    <t>PVC BIB COCK 25MM</t>
  </si>
  <si>
    <t>P - Plumbing Material</t>
  </si>
  <si>
    <t>2" GI BEND</t>
  </si>
  <si>
    <t>CPVC Ball Valve 1" (25 mm)</t>
  </si>
  <si>
    <t>CPVC Ball Valve 2" (50 mm)</t>
  </si>
  <si>
    <t>CPVC BRASS ELBOW 1" X 1/2" (25x15mm)</t>
  </si>
  <si>
    <t>CPVC Coupler 1/2" (15mm)</t>
  </si>
  <si>
    <t>CPVC Coupler 2" (50mm)</t>
  </si>
  <si>
    <t>CPVC ELBOW 1/2" (15 MM)</t>
  </si>
  <si>
    <t>CPVC Elbow  1" (25mm)</t>
  </si>
  <si>
    <t>CPVC Elbow  2" (50mm)</t>
  </si>
  <si>
    <t>CPVC Endcap 1" (25 mm)</t>
  </si>
  <si>
    <t>CPVC Endcap 2" (50 mm)</t>
  </si>
  <si>
    <t>CPVC Pipe 1/2" (15mm)</t>
  </si>
  <si>
    <t>CPVC Pipe 1" (25mm)</t>
  </si>
  <si>
    <t>CPVC Pipe 2" (50mm)</t>
  </si>
  <si>
    <t>CPVC Solution 237 Ml</t>
  </si>
  <si>
    <t>CPVC Tee 1-1/2" (40mm)</t>
  </si>
  <si>
    <t>CPVC Tee 1" (25mm)</t>
  </si>
  <si>
    <t>CPVC Tee 2-1/2" (65mm)</t>
  </si>
  <si>
    <t>CPVC Union 2" (50mm)</t>
  </si>
  <si>
    <t>GI 1-1/4" 32mm 'U' Clamp</t>
  </si>
  <si>
    <t>GI 1-1/4" Coupler (32mm)</t>
  </si>
  <si>
    <t>GI 1-1/4" Elbow (32mm)</t>
  </si>
  <si>
    <t>GI 1'' Tank Nipple (25mm)</t>
  </si>
  <si>
    <t>PVC BIB COCK 15MM</t>
  </si>
  <si>
    <t>PVC Coupler 2" (50 mm)</t>
  </si>
  <si>
    <t>PVC Coupler 4" (110 mm)</t>
  </si>
  <si>
    <t>PVC ELBOW 1 1/2" (40 MM)</t>
  </si>
  <si>
    <t>PVC ELBOW 2" (50 MM)</t>
  </si>
  <si>
    <t>PVC Flexible Outlet Pipe 3/4"</t>
  </si>
  <si>
    <t>PVC Gully Trap</t>
  </si>
  <si>
    <t>PVC Pipe 2" (50 mm)</t>
  </si>
  <si>
    <t>PVC Pipe 4" (110 mm)</t>
  </si>
  <si>
    <t>PVC Pipe 6" (160 mm)</t>
  </si>
  <si>
    <t>PVC Plain Bend 4" (110 mm)</t>
  </si>
  <si>
    <t>PVC Plain Bend 6" (160 mm)</t>
  </si>
  <si>
    <t>PVC Plain Tee 2" (50 mm)</t>
  </si>
  <si>
    <t>PVC Plain Tee 6" (160 mm)</t>
  </si>
  <si>
    <t>PVC Plug Tee 4" (110 mm)</t>
  </si>
  <si>
    <t>PVC REDUCER 4"X6" (110X160MM)</t>
  </si>
  <si>
    <t>PVC REDUCER Y 6"X4" (160 X 110 MM)</t>
  </si>
  <si>
    <t>PVC Shoe 6" (160 mm)</t>
  </si>
  <si>
    <t>PVC SOCKET 6'' (150MM)</t>
  </si>
  <si>
    <t>PVC SOLUTION</t>
  </si>
  <si>
    <t>Taplon Tape</t>
  </si>
  <si>
    <t>UPVC Coupler 1/2" (15 mm)</t>
  </si>
  <si>
    <t>UPVC Coupler 1" (25 mm)</t>
  </si>
  <si>
    <t>UPVC ELBOW 1/2" (15MM)</t>
  </si>
  <si>
    <t>UPVC END CAP 1/2" (15 mm)</t>
  </si>
  <si>
    <t>UPVC Pipe 25 mm</t>
  </si>
  <si>
    <t>UPVC SOLUSTION</t>
  </si>
  <si>
    <t>UPVC TANK NIPPLE 1'' (25MM)</t>
  </si>
  <si>
    <t>UPVC UNION 1'' (25mm)</t>
  </si>
  <si>
    <t>WATER TANK - 500 LTR TRIPLE LAYER</t>
  </si>
  <si>
    <t>P - Sanitary Ware Material</t>
  </si>
  <si>
    <t>Urinal</t>
  </si>
  <si>
    <t>RCC Pipe 200mm Dia NP2 Class (2 Mtr Each)</t>
  </si>
  <si>
    <t>RCC SEPTIC TANK 1800MM</t>
  </si>
  <si>
    <t>S038-Indirect Works--A07</t>
  </si>
  <si>
    <t>Safety Expenses</t>
  </si>
  <si>
    <t>RUBBER APRON (WELDING APRON)</t>
  </si>
  <si>
    <t>P - Non Consumable Shuttering Material</t>
  </si>
  <si>
    <t>MS Joint Pin</t>
  </si>
  <si>
    <t>M S Planks 8 X 1'</t>
  </si>
  <si>
    <t>MS Vertical 3RMT</t>
  </si>
  <si>
    <t>Swivel Coupler 40MM</t>
  </si>
  <si>
    <t>ALCOHOL TEST MACHINE - BREATHALYZER</t>
  </si>
  <si>
    <t>Barrication Tape</t>
  </si>
  <si>
    <t>BATON LED LIGHT</t>
  </si>
  <si>
    <t>CONVEX MIRROR</t>
  </si>
  <si>
    <t>Cotton Hand Gloves Dotted</t>
  </si>
  <si>
    <t>CUT RESISTANT HAND GLOVES</t>
  </si>
  <si>
    <t>FACE SHIELD</t>
  </si>
  <si>
    <t>Fall Arrester</t>
  </si>
  <si>
    <t>Fall Arrester Polymide Rope 14MM</t>
  </si>
  <si>
    <t>FIRE BLANKET</t>
  </si>
  <si>
    <t>FIRE BUCKET</t>
  </si>
  <si>
    <t>Fire Extinguishers Abc Type - 6 KG Safepro</t>
  </si>
  <si>
    <t>FIRE EXTINGUISHERS ABC TYPE CEILING MOUNTED</t>
  </si>
  <si>
    <t>Fire Extinguishers Co2 Type - 4.5 KG Safepro</t>
  </si>
  <si>
    <t>FIRE EXTINGUISHERS CO2 TYPE - 9 KG</t>
  </si>
  <si>
    <t>FIRE EXTINGUISHERS FOAM TYPE - 9 LTR</t>
  </si>
  <si>
    <t>Gumboot Alko Plus (Steel Toe) Size :- 9 &amp; 10 nos</t>
  </si>
  <si>
    <t>LEATHER HAND GLOVES</t>
  </si>
  <si>
    <t>LED BLINKER LIGHT SOLAR</t>
  </si>
  <si>
    <t>LUX METER</t>
  </si>
  <si>
    <t>MOSQUITO NET STEEL MESH</t>
  </si>
  <si>
    <t>Pu Coated Hand Gloves</t>
  </si>
  <si>
    <t>PVC REBAR CAP 25-32MM</t>
  </si>
  <si>
    <t>PVC REBAR CAP 8-24MM</t>
  </si>
  <si>
    <t>Rain Coat Free Size Labour Yellow</t>
  </si>
  <si>
    <t>Rain Coat Free Size Staff</t>
  </si>
  <si>
    <t>REFLECTING TAPE 50 MM</t>
  </si>
  <si>
    <t>Rubber Hand Gloves Std</t>
  </si>
  <si>
    <t>Safety Blue Jacket 3 Side Open With Logo</t>
  </si>
  <si>
    <t>Safety Catch Net Double Layer 6X10 RMT</t>
  </si>
  <si>
    <t>SAFETY DISPLAY MANNEQUIN WITH PPE</t>
  </si>
  <si>
    <t>Safety Ear Plug Std</t>
  </si>
  <si>
    <t>SAFETY FLAG GREEN</t>
  </si>
  <si>
    <t>SAFETY FLAG RED</t>
  </si>
  <si>
    <t>Safety Full Body Harness</t>
  </si>
  <si>
    <t>Safety Goggles ( White / Black)</t>
  </si>
  <si>
    <t>Safety Green Jacket 3 Side Open With Logo</t>
  </si>
  <si>
    <t>Safety Helmet Blue</t>
  </si>
  <si>
    <t>SAFETY HELMET GRAY</t>
  </si>
  <si>
    <t>Safety Helmet Green</t>
  </si>
  <si>
    <t>SAFETY HELMET PURPLE</t>
  </si>
  <si>
    <t>Safety Helmet Red</t>
  </si>
  <si>
    <t>Safety Helmet White</t>
  </si>
  <si>
    <t>Safety Helmet Yellow Male Labour</t>
  </si>
  <si>
    <t>Safety Nose Mask</t>
  </si>
  <si>
    <t>Safety Orange Jacket With Logo</t>
  </si>
  <si>
    <t>Safety Pp Nylon Rope 16MM</t>
  </si>
  <si>
    <t>Safety Shoes Labour</t>
  </si>
  <si>
    <t>Safety Shoes Staff</t>
  </si>
  <si>
    <t>SHOULDER PAD</t>
  </si>
  <si>
    <t>UDYOGI MAKE Double Layer Safety Net - Border PP Rope 12mm - Inner PP Rope 2mm (100X100mm) IS-11057 size-6mtr x 10mtr</t>
  </si>
  <si>
    <t>UDYOGI MAKE Double Layer Safety Net - Border PP Rope 12mm - Inner PP Rope 8mm (100X100mm) IS-11057 size-6mtr x 10mtr</t>
  </si>
  <si>
    <t>UDYOGI MAKE Double Layer Safety Net - Border PP Rope 8mm - Inner PP Rope 4mm (75X75mm) IS-11057 size - 6mtr x 10mtr</t>
  </si>
  <si>
    <t>Umbrella Big Size Nylon Fabric</t>
  </si>
  <si>
    <t>WELDING HAND SHIELD ARMOUR</t>
  </si>
  <si>
    <t>MS ROUND PIPE OD 43MM (3MM THICK)</t>
  </si>
  <si>
    <t>MS SQUARE PIPE 20X20X1.5MM</t>
  </si>
  <si>
    <t>S038-Indirect Works--A10</t>
  </si>
  <si>
    <t>Staff Welfare Expenses</t>
  </si>
  <si>
    <t>P - Office Material</t>
  </si>
  <si>
    <t>Ms Cupboard Big Std</t>
  </si>
  <si>
    <t>Office Chair Revolving</t>
  </si>
  <si>
    <t>PVC Chair Cello</t>
  </si>
  <si>
    <t>S038-Indirect Works--A14</t>
  </si>
  <si>
    <t>Housekeeping Expenses</t>
  </si>
  <si>
    <t>S038-Indirect Works--A15</t>
  </si>
  <si>
    <t>Major &amp; Minor Machinery Expences</t>
  </si>
  <si>
    <t>AUTO LEVEL MACHINE</t>
  </si>
  <si>
    <t>BREAKER MACHINE 11 KG</t>
  </si>
  <si>
    <t>HAMMER DRILL MACHINE 22MM BOSCH MAKE</t>
  </si>
  <si>
    <t>HAMMER DRILL BIT 08x210mm</t>
  </si>
  <si>
    <t>HAMMER DRILL BIT 12x210mm</t>
  </si>
  <si>
    <t>HAMMER DRILL BIT 16x210mm</t>
  </si>
  <si>
    <t>P - Fuel</t>
  </si>
  <si>
    <t>Diesel</t>
  </si>
  <si>
    <t>S038-Indirect Works--A16</t>
  </si>
  <si>
    <t>Quality Expenses</t>
  </si>
  <si>
    <t>MS STENCIL 6"</t>
  </si>
  <si>
    <t>P - QA/QC Lab Equipments</t>
  </si>
  <si>
    <t>BRASS SIEVE SET (FINE)</t>
  </si>
  <si>
    <t>CALCIUM POWDER</t>
  </si>
  <si>
    <t>CONCRETE FLOW TABLE TEST SET</t>
  </si>
  <si>
    <t>CORE CUTTER DOLLY SETS WITH RUNNER</t>
  </si>
  <si>
    <t>DENSITY BUCKET</t>
  </si>
  <si>
    <t>DIAL GAUGE - GAUGE PLATE</t>
  </si>
  <si>
    <t>ELONGATION INDEX</t>
  </si>
  <si>
    <t>ENAMEL TRAY</t>
  </si>
  <si>
    <t>FLAKINESS INDEX</t>
  </si>
  <si>
    <t>GI TRAY - LAB</t>
  </si>
  <si>
    <t>HOT AIR OVEN</t>
  </si>
  <si>
    <t>MEASURING CYLINDER JAR 500ML</t>
  </si>
  <si>
    <t>MOISTURE METER</t>
  </si>
  <si>
    <t>PYCHNOMETER BOTTLE</t>
  </si>
  <si>
    <t>SAND REPLACEMENT APPARATUS</t>
  </si>
  <si>
    <t>SCOOP - BIG SIZE</t>
  </si>
  <si>
    <t>SCOOP - SMALL SIZE</t>
  </si>
  <si>
    <t>SCREW GAUGE</t>
  </si>
  <si>
    <t>SLUMP CONE APPARATUS WITH GRADUATED TAMPING ROD</t>
  </si>
  <si>
    <t>SPECIFIC GRAVITY BASKET LAB</t>
  </si>
  <si>
    <t>SPIRIT LEVEL</t>
  </si>
  <si>
    <t>THERMOMETER DIGITAL INFRARED</t>
  </si>
  <si>
    <t>VERNIER CALIPER</t>
  </si>
  <si>
    <t>S038-Indirect Works--A17</t>
  </si>
  <si>
    <t>Repair &amp; Maintenance Expenses</t>
  </si>
  <si>
    <t>AD BLUE DEF LIQUID</t>
  </si>
  <si>
    <t>Armature for Grinder</t>
  </si>
  <si>
    <t>Brake Oil</t>
  </si>
  <si>
    <t>Cardium Compound Grease</t>
  </si>
  <si>
    <t>ENGINE OIL 15W40</t>
  </si>
  <si>
    <t>Field Coil for Grinder</t>
  </si>
  <si>
    <t>GEAR OIL 90</t>
  </si>
  <si>
    <t>GREASE 00</t>
  </si>
  <si>
    <t>HYDRAULIC OIL 68</t>
  </si>
  <si>
    <t>S038-Indirect Works--A18</t>
  </si>
  <si>
    <t>Consumable Material Purchase</t>
  </si>
  <si>
    <t>P - Aluform  Mat</t>
  </si>
  <si>
    <t>Pp Sheet 4'x6' 3MM Blue</t>
  </si>
  <si>
    <t>Nitobond Ar Std Make Fosroc</t>
  </si>
  <si>
    <t>Bare Fixing Angle (Crane Foundation Legs)</t>
  </si>
  <si>
    <t>Brown Tape 2"</t>
  </si>
  <si>
    <t>Cleaning Cloths /Waste Cotton</t>
  </si>
  <si>
    <t>Concrete Drill Bit 10x160mm</t>
  </si>
  <si>
    <t>Concrete Drill Bit 12x160mm</t>
  </si>
  <si>
    <t>Concrete Drill Bit 16x160mm</t>
  </si>
  <si>
    <t>CONCRETE DRILL BIT 20MM X 160MM</t>
  </si>
  <si>
    <t>Concrete Drill Bit 6x160mm</t>
  </si>
  <si>
    <t>Concrete Grinding Wheel (Cup Wheel) 4''</t>
  </si>
  <si>
    <t>Concrete Grinding Wheel (Cup Wheel) 5''</t>
  </si>
  <si>
    <t>Curing Pipe 3/4 Inch X 30 RMT</t>
  </si>
  <si>
    <t>DOUBLE SIDE TAPE 25MM</t>
  </si>
  <si>
    <t>BUNDLE</t>
  </si>
  <si>
    <t>DRILL BIT HOLE SAW 25MM (PLY)</t>
  </si>
  <si>
    <t>DRILL BIT HOLE SAW METAL</t>
  </si>
  <si>
    <t>Green Hose Pipe (Bangadi Pipe) 2"</t>
  </si>
  <si>
    <t>Hard Broom Hd</t>
  </si>
  <si>
    <t>Line Dori Nylon (30 RMT/Bundle)</t>
  </si>
  <si>
    <t>Measurement Tape Fiber 30 RMT</t>
  </si>
  <si>
    <t>Measurement Tape Steel 30 RMT</t>
  </si>
  <si>
    <t>Ms Hammer 2 Kg With Handle</t>
  </si>
  <si>
    <t>Paint Roller 4"</t>
  </si>
  <si>
    <t>Paint Roller 8"</t>
  </si>
  <si>
    <t>PLASTER SPONGE</t>
  </si>
  <si>
    <t>Ply Cutting Wheel 4''</t>
  </si>
  <si>
    <t>Ply Cutting Wheel 7"</t>
  </si>
  <si>
    <t>Right Angle 1' Long</t>
  </si>
  <si>
    <t>Right Angle 2' Long</t>
  </si>
  <si>
    <t>RUBBER HAMMER</t>
  </si>
  <si>
    <t>Scrapper Patti 3" With Handle</t>
  </si>
  <si>
    <t>Steel Cutting Wheel 14"</t>
  </si>
  <si>
    <t>Steel Cutting Wheel 4''</t>
  </si>
  <si>
    <t>Steel Cutting Wheel 5"</t>
  </si>
  <si>
    <t>TACHYA WITH HANDLE</t>
  </si>
  <si>
    <t>PVC Conduit Pipe 25mm</t>
  </si>
  <si>
    <t>LDPE Sheet 500 Micron</t>
  </si>
  <si>
    <t>S038-Indirect Works--A19</t>
  </si>
  <si>
    <t>Vehicle Hiring Works</t>
  </si>
  <si>
    <t>Bobcat</t>
  </si>
  <si>
    <t>Crane 100 MT (Day)</t>
  </si>
  <si>
    <t>Crane 15 MT HRS</t>
  </si>
  <si>
    <t>H - 50 Seater Bus</t>
  </si>
  <si>
    <t>PER MONTH</t>
  </si>
  <si>
    <t>Hyva (Day)</t>
  </si>
  <si>
    <t>JCB With Bucket</t>
  </si>
  <si>
    <t>S038-Indirect Works--A20</t>
  </si>
  <si>
    <t>Testing &amp; Survey Works</t>
  </si>
  <si>
    <t>Testing &amp; Inspection Works</t>
  </si>
  <si>
    <t>Ambient Air Monitoring</t>
  </si>
  <si>
    <t>Ambient Noise Monitoring</t>
  </si>
  <si>
    <t>Binding Wire - Chemical Analysis</t>
  </si>
  <si>
    <t>Binding Wire - Gauge Thickness</t>
  </si>
  <si>
    <t>Binding Wire - Tensile strength &amp; Percentage</t>
  </si>
  <si>
    <t>Binding Wire - Weight per Meter</t>
  </si>
  <si>
    <t>Binding Wire - Zinc Coating</t>
  </si>
  <si>
    <t>Calibration - Digital PH Meter</t>
  </si>
  <si>
    <t>Calibration - Digital Thermometer</t>
  </si>
  <si>
    <t>Calibration - Wire Guage</t>
  </si>
  <si>
    <t>Compression Testing - Cubes</t>
  </si>
  <si>
    <t>Concrete -Chemical Analysis - Chloride</t>
  </si>
  <si>
    <t>Concrete -Chemical Analysis - Sulphate</t>
  </si>
  <si>
    <t>Plywood - Adhesion of Ply</t>
  </si>
  <si>
    <t>Plywood - Density &amp; Moisture Content</t>
  </si>
  <si>
    <t>Plywood - Glue Shear Strength</t>
  </si>
  <si>
    <t>Plywood - Knife Test</t>
  </si>
  <si>
    <t>Plywood - Modulus of Rupture</t>
  </si>
  <si>
    <t>Plywood - Nails &amp; Screw Holding Test</t>
  </si>
  <si>
    <t>Plywood - Tensile Strength Along Grain &amp; Across Grain</t>
  </si>
  <si>
    <t>Plywood - Water Resistance Test</t>
  </si>
  <si>
    <t>Reinforcement Steel - Chemical Tests</t>
  </si>
  <si>
    <t>Reinforcement Steel - Physical Tests (Above 25 mm Dia.) Complete Tests</t>
  </si>
  <si>
    <t>Reinforcement Steel - Physical Tests (For Bar 16 mm to 25 mm Dia.) Complete Tests</t>
  </si>
  <si>
    <t>Reinforcement Steel - Physical Tests (Upto 12 mm Dia.) Complete Tests</t>
  </si>
  <si>
    <t>Water - Chemical Test - ph Value/Organic/Inorganic/Suphate/Chlorides/Suspended Matters/Acidity/Alkalinity</t>
  </si>
  <si>
    <t>Water - Drinking water Test</t>
  </si>
  <si>
    <t>S038-Indirect Works--A21</t>
  </si>
  <si>
    <t>Non Consumable Shuttering Material</t>
  </si>
  <si>
    <t>H - Base Jack 600 mm</t>
  </si>
  <si>
    <t>H - Cuplock Ledger 0.5 Mtr</t>
  </si>
  <si>
    <t>H - Cuplock Ledger 0.9 Mtr</t>
  </si>
  <si>
    <t>H - Cuplock Ledger 1.2 Mtr</t>
  </si>
  <si>
    <t>H - Cuplock Ledger 1.5 Mtr</t>
  </si>
  <si>
    <t>H - Cuplock Vertical 1.5 Mtr</t>
  </si>
  <si>
    <t>H - Cuplock Vertical 1 Mtr</t>
  </si>
  <si>
    <t>H - Cuplock Vertical 2.5 Mtr</t>
  </si>
  <si>
    <t>H - Cuplock Vertical 2 Mtr</t>
  </si>
  <si>
    <t>H - Cuplock Vertical 3.0 Mtr</t>
  </si>
  <si>
    <t>H - ISMC 100</t>
  </si>
  <si>
    <t>H - Joint Pin</t>
  </si>
  <si>
    <t>H - MS Props 2 X 2</t>
  </si>
  <si>
    <t>H - MS Props 2 X 3</t>
  </si>
  <si>
    <t>H - Ms Square Pipe 50 MM X 50 MM x 3 MM</t>
  </si>
  <si>
    <t>H - Shikanja 2.5'</t>
  </si>
  <si>
    <t>H - Shikanja 3'</t>
  </si>
  <si>
    <t>H - Tie Rod</t>
  </si>
  <si>
    <t>H - U Jack 600 mm</t>
  </si>
  <si>
    <t>H - Wing Nut</t>
  </si>
  <si>
    <t>ALUFORM WALL TIES PATTI 250mm 32x3x455mm</t>
  </si>
  <si>
    <t>ALUFORM WALL TIES PATTI 300mm 32x3x505mm</t>
  </si>
  <si>
    <t>ALUFORM WALL TIES PATTI 320mm 32x3x525mm</t>
  </si>
  <si>
    <t>ALUFORM WALL TIES PATTI 340mm 32x3x545mm</t>
  </si>
  <si>
    <t>ALUFORM WALL TIES PATTI 350mm 32x3x555mm</t>
  </si>
  <si>
    <t>ALUFORM WALL TIES PATTI 400mm 32x3x605mm</t>
  </si>
  <si>
    <t>ALUFORM WALL TIES PATTI 450mm 32x3x655mm</t>
  </si>
  <si>
    <t>Ms Turn Buckle</t>
  </si>
  <si>
    <t>Panel Puller</t>
  </si>
  <si>
    <t>Push Pull Props (Mivan Use)</t>
  </si>
  <si>
    <t>PVC Roll (Pepsi Roll)</t>
  </si>
  <si>
    <t>Stub Pin</t>
  </si>
  <si>
    <t>Waller Clamp</t>
  </si>
  <si>
    <t>Wall Tie</t>
  </si>
  <si>
    <t>Wall Tie Puller</t>
  </si>
  <si>
    <t>Wedges</t>
  </si>
  <si>
    <t>HOLE  BARI</t>
  </si>
  <si>
    <t>Ms D Shackle 4.75 Mt 4"(With Mtc Report)</t>
  </si>
  <si>
    <t>Wire Rope Sling 16MM 5RMT</t>
  </si>
  <si>
    <t>P - Expansion Joint Sheet</t>
  </si>
  <si>
    <t>Foam Sheet 3mm Sheet Size - 6 x 3ft.</t>
  </si>
  <si>
    <t>WIRE ROPE 12MM</t>
  </si>
  <si>
    <t>HY RIB SHEET 450X2500X0.5MM THICK</t>
  </si>
  <si>
    <t>S038-Indirect Works--A22</t>
  </si>
  <si>
    <t>Store &amp; Warehousing Expenses</t>
  </si>
  <si>
    <t>S038-Indirect Works--A23</t>
  </si>
  <si>
    <t>Dewatering Works</t>
  </si>
  <si>
    <t>S038-Indirect Works--A24</t>
  </si>
  <si>
    <t>Labour Camp Maintenance Expenses</t>
  </si>
  <si>
    <t>S038-Indirect Works--A25</t>
  </si>
  <si>
    <t>Tower Crane Mobilisation &amp; De-Mobilisation Works</t>
  </si>
  <si>
    <t>Tower Crane Errection Works</t>
  </si>
  <si>
    <t>JOB</t>
  </si>
  <si>
    <t>S038-Indirect Works--A26</t>
  </si>
  <si>
    <t>Concrete Pumping Works</t>
  </si>
  <si>
    <t>SLURRY POUCH (250GM/PACK)</t>
  </si>
  <si>
    <t>SUPPLY OF CONCRETE WITH PUMP</t>
  </si>
  <si>
    <t>S038-NA--10.1</t>
  </si>
  <si>
    <t>NTA T2 Sub Soiling</t>
  </si>
  <si>
    <t>P - Rubble</t>
  </si>
  <si>
    <t>Dubber/Rubble</t>
  </si>
  <si>
    <t>Soling Works</t>
  </si>
  <si>
    <t>Labour For Rubble Stone Soling Work - 230 mm thk</t>
  </si>
  <si>
    <t>Water</t>
  </si>
  <si>
    <t>Construction Water</t>
  </si>
  <si>
    <t>S038-NA--10.11</t>
  </si>
  <si>
    <t>NTA T2 Sub Convent. Formwork P &amp; F</t>
  </si>
  <si>
    <t>Deshuttering Works - Part Rate</t>
  </si>
  <si>
    <t>Labour for Shuttering Making</t>
  </si>
  <si>
    <t>Shuttering &amp; Scaffolding Work  - Part Rate</t>
  </si>
  <si>
    <t>Tile Protection Sheet 6x4 [3MM]</t>
  </si>
  <si>
    <t>Plywood 12 MM (8' X 4')</t>
  </si>
  <si>
    <t>Shuttering Oil Reebol Oil Make - Fosroc</t>
  </si>
  <si>
    <t>Silver Patti Wood  4''X2''</t>
  </si>
  <si>
    <t>CFT</t>
  </si>
  <si>
    <t>Silver Patti Wood  4''X3''</t>
  </si>
  <si>
    <t>Stagging &amp; Scaffolding Work</t>
  </si>
  <si>
    <t>Labour For Stagging Fixing</t>
  </si>
  <si>
    <t>Labour For Stagging Removing</t>
  </si>
  <si>
    <t>S038-NA--10.1-1</t>
  </si>
  <si>
    <t>NTA T2 Sub Thermocouple sensosrs P &amp; F</t>
  </si>
  <si>
    <t>Testing &amp; Survey Work</t>
  </si>
  <si>
    <t>Monitoring &amp; Reporting of Temperature for TCC (Assured 5 days)</t>
  </si>
  <si>
    <t>P&amp;F of RTD (Assured 6 nos of Points.  Ambient RTD will be free of cost)</t>
  </si>
  <si>
    <t>Visit Charges for Temperature Monitoring for TCC (One Time)</t>
  </si>
  <si>
    <t>S038-NA--10.12</t>
  </si>
  <si>
    <t>NTA T2 Sub Reinforcement Work - Laying</t>
  </si>
  <si>
    <t>P - Cover Blocks - Material</t>
  </si>
  <si>
    <t>RCC Cover Block 25MM Square</t>
  </si>
  <si>
    <t>RCC Cover Block 30MM Square</t>
  </si>
  <si>
    <t>RCC Cover Block 40MM Round</t>
  </si>
  <si>
    <t>RCC Cover Block 40MM Square</t>
  </si>
  <si>
    <t>RCC Cover Block 75MM Square</t>
  </si>
  <si>
    <t>Reinforcement Steel Service</t>
  </si>
  <si>
    <t>Labour for Reinforcement Steel</t>
  </si>
  <si>
    <t>S038-NA--10.13</t>
  </si>
  <si>
    <t>NTA T2 Sub Coupler 20 Dia - S &amp; L</t>
  </si>
  <si>
    <t>Coupler for Reinforcement</t>
  </si>
  <si>
    <t>Threading for Reinforcement Steel - 20 MM</t>
  </si>
  <si>
    <t>P - Reinforcement Coupler</t>
  </si>
  <si>
    <t>Rebar Coupler - 20 mm</t>
  </si>
  <si>
    <t>S038-NA--10.14</t>
  </si>
  <si>
    <t>NTA T2 Sub Coupler 25 Dia - S &amp; L</t>
  </si>
  <si>
    <t>Threading for Reinforcement Steel - 25 MM</t>
  </si>
  <si>
    <t>Rebar Coupler - 25 mm</t>
  </si>
  <si>
    <t>S038-NA--10.15</t>
  </si>
  <si>
    <t>NTA T2 Sub Coupler 32 Dia - S &amp; L</t>
  </si>
  <si>
    <t>Rebar Coupler - 32 mm</t>
  </si>
  <si>
    <t>S038-NA--10.16</t>
  </si>
  <si>
    <t>NTA T2 Sub Reduced Coupler 25-20 Dia - S &amp; L</t>
  </si>
  <si>
    <t>Reducer Coupler - 25/20 mm</t>
  </si>
  <si>
    <t>S038-NA--10.17</t>
  </si>
  <si>
    <t>NTA T2 Sub Reduced Coupler 32-25 Dia - S &amp; L</t>
  </si>
  <si>
    <t>Threading for Reinforcement Steel - 32 MM</t>
  </si>
  <si>
    <t>Reducer Coupler - 32/25 mm</t>
  </si>
  <si>
    <t>S038-NA--10.18</t>
  </si>
  <si>
    <t>NTA T2 Sub Reduced Coupler 32-20 Dia - S &amp; L</t>
  </si>
  <si>
    <t>Reducer Coupler 32/20 mm</t>
  </si>
  <si>
    <t>S038-NA--10.2</t>
  </si>
  <si>
    <t>NTA T2 Sub ATT</t>
  </si>
  <si>
    <t>Anti-Termite Treatment</t>
  </si>
  <si>
    <t>Providing &amp; Laying of Anti-Termite Treatment</t>
  </si>
  <si>
    <t>S038-NA--10.3</t>
  </si>
  <si>
    <t>NTA T2 Sub Plum Concrete</t>
  </si>
  <si>
    <t>S038-NA--10.4</t>
  </si>
  <si>
    <t>NTA T2 Sub M10 PCC</t>
  </si>
  <si>
    <t>S038-NA--10.5</t>
  </si>
  <si>
    <t>NTA T2 Sub M35 P &amp; L</t>
  </si>
  <si>
    <t>Concrete Reparing Expenses</t>
  </si>
  <si>
    <t>Labour for Internal Post Pour on Item Rate Basis</t>
  </si>
  <si>
    <t>Fairmate Faircure Wc White Pigmented Concrete Curing Aid</t>
  </si>
  <si>
    <t>Fairmate Flowgrout Pgm  Pumpable Gungrade Mortar</t>
  </si>
  <si>
    <t>RMC M-35</t>
  </si>
  <si>
    <t>S038-NA--10.6</t>
  </si>
  <si>
    <t>NTA T2 Sub M45 P &amp; L</t>
  </si>
  <si>
    <t>RMC M-45</t>
  </si>
  <si>
    <t>S038-NA--10.7</t>
  </si>
  <si>
    <t>NTA T2 Sub M50 P &amp; L</t>
  </si>
  <si>
    <t>RMC M-50</t>
  </si>
  <si>
    <t>S038-NA--10.8</t>
  </si>
  <si>
    <t>NTA T2 Sub M35 TCC P &amp; L</t>
  </si>
  <si>
    <t>RMC M-35TCC</t>
  </si>
  <si>
    <t>S038-NA--1.1</t>
  </si>
  <si>
    <t>T1 Sub Soiling</t>
  </si>
  <si>
    <t>S038-NA--1.11</t>
  </si>
  <si>
    <t>T1 Sub Conven. Formwork P &amp; F</t>
  </si>
  <si>
    <t>Silver Patti Wood  3''X2''</t>
  </si>
  <si>
    <t>Water Stopper Tie Rod ( Weight - 350gm/Pcs)</t>
  </si>
  <si>
    <t>S038-NA--11.1</t>
  </si>
  <si>
    <t>NTA T3 Sub Soiling</t>
  </si>
  <si>
    <t>S038-NA--11.11</t>
  </si>
  <si>
    <t>NTA T3 Sub Convent. Formwork P &amp; F</t>
  </si>
  <si>
    <t>S038-NA--11.1-1</t>
  </si>
  <si>
    <t>NTA T3 Sub Thermocouple sensosrs P &amp; F</t>
  </si>
  <si>
    <t>S038-NA--11.12</t>
  </si>
  <si>
    <t>NTA T3 Sub Reinforcement Work - Laying</t>
  </si>
  <si>
    <t>S038-NA--11.13</t>
  </si>
  <si>
    <t>NTA T3 Sub Coupler 20 Dia - S &amp; L</t>
  </si>
  <si>
    <t>S038-NA--11.14</t>
  </si>
  <si>
    <t>NTA T3 Sub Coupler 25 Dia - S &amp; L</t>
  </si>
  <si>
    <t>S038-NA--11.15</t>
  </si>
  <si>
    <t>NTA T3 Sub Coupler 32 Dia - S &amp; L</t>
  </si>
  <si>
    <t>S038-NA--11.16</t>
  </si>
  <si>
    <t>NTA T3 Sub Reduced Coupler 25-20 Dia - S &amp; L</t>
  </si>
  <si>
    <t>S038-NA--11.17</t>
  </si>
  <si>
    <t>NTA T3 Sub Reduced Coupler 32-25 Dia - S &amp; L</t>
  </si>
  <si>
    <t>S038-NA--11.18</t>
  </si>
  <si>
    <t>NTA T3 Sub Reduced Coupler 32-20 Dia - S &amp; L</t>
  </si>
  <si>
    <t>S038-NA--1.12</t>
  </si>
  <si>
    <t>T1 Sub Reinforcement Work- Laying</t>
  </si>
  <si>
    <t>S038-NA--11.2</t>
  </si>
  <si>
    <t>NTA T3 Sub ATT</t>
  </si>
  <si>
    <t>S038-NA--1.13</t>
  </si>
  <si>
    <t>T1 Sub Coupler 20mm Dia - S &amp; L</t>
  </si>
  <si>
    <t>S038-NA--11.3</t>
  </si>
  <si>
    <t>NTA T3 Sub Plum Concrete- P &amp; L</t>
  </si>
  <si>
    <t>S038-NA--1.14</t>
  </si>
  <si>
    <t>T1 Sub Coupler 25mm Dia - S &amp; L</t>
  </si>
  <si>
    <t>S038-NA--11.4</t>
  </si>
  <si>
    <t>NTA T3 Sub M10 PCC</t>
  </si>
  <si>
    <t>S038-NA--1.15</t>
  </si>
  <si>
    <t>T1 Sub Coupler 32mm Dia - S &amp; L</t>
  </si>
  <si>
    <t>S038-NA--11.5</t>
  </si>
  <si>
    <t>NTA T3 Sub M35 P &amp; L</t>
  </si>
  <si>
    <t>S038-NA--1.16</t>
  </si>
  <si>
    <t>T1 Sub Reduced Coupler 25-20 Dia - S &amp; L</t>
  </si>
  <si>
    <t>S038-NA--11.6</t>
  </si>
  <si>
    <t>NTA T3 Sub M45 P &amp; L</t>
  </si>
  <si>
    <t>S038-NA--1.17</t>
  </si>
  <si>
    <t>T1 Sub Reduced Coupler 32-25 Dia - S &amp; L</t>
  </si>
  <si>
    <t>S038-NA--11.7</t>
  </si>
  <si>
    <t>NTA T3 Sub M50 P &amp; L</t>
  </si>
  <si>
    <t>S038-NA--1.18</t>
  </si>
  <si>
    <t>T1 Sub Reduced Coupler 32-20 Dia - S &amp; L</t>
  </si>
  <si>
    <t>S038-NA--11.8</t>
  </si>
  <si>
    <t>NTA T3 Sub M35 TCC P &amp; L</t>
  </si>
  <si>
    <t>S038-NA--1.2</t>
  </si>
  <si>
    <t>T1 Sub ATT</t>
  </si>
  <si>
    <t>S038-NA--12.1</t>
  </si>
  <si>
    <t>NTA T4 Sub Soiling</t>
  </si>
  <si>
    <t>S038-NA--12.11</t>
  </si>
  <si>
    <t>NTA T4 Sub Convent. Formwork P &amp; F</t>
  </si>
  <si>
    <t>S038-NA--12.1-1</t>
  </si>
  <si>
    <t>NTA T4 Sub Thermocouple sensosrs P &amp; F</t>
  </si>
  <si>
    <t>S038-NA--12.12</t>
  </si>
  <si>
    <t>NTA T4 Sub Reinforcement Work - Laying</t>
  </si>
  <si>
    <t>S038-NA--12.13</t>
  </si>
  <si>
    <t>NTA T4 Sub Coupler 20 Dia - S &amp; L</t>
  </si>
  <si>
    <t>S038-NA--12.14</t>
  </si>
  <si>
    <t>NTA T4 Sub Coupler 25 Dia - S &amp; L</t>
  </si>
  <si>
    <t>S038-NA--12.15</t>
  </si>
  <si>
    <t>NTA T4 Sub Coupler 32 Dia - S &amp; L</t>
  </si>
  <si>
    <t>S038-NA--12.16</t>
  </si>
  <si>
    <t>NTA T4 Sub Reduced Coupler 25-20 Dia - S &amp; L</t>
  </si>
  <si>
    <t>S038-NA--12.17</t>
  </si>
  <si>
    <t>NTA T4 Sub Reduced Coupler 32-25 Dia - S &amp; L</t>
  </si>
  <si>
    <t>S038-NA--12.18</t>
  </si>
  <si>
    <t>NTA T4 Sub Reduced Coupler 32-20 Dia - S &amp; L</t>
  </si>
  <si>
    <t>S038-NA--12.2</t>
  </si>
  <si>
    <t>NTA T4 Sub ATT</t>
  </si>
  <si>
    <t>S038-NA--12.3</t>
  </si>
  <si>
    <t>NTA T4 Sub Plum Concrete- P &amp; L</t>
  </si>
  <si>
    <t>S038-NA--12.4</t>
  </si>
  <si>
    <t>S038-NA--12.5</t>
  </si>
  <si>
    <t>NTA T4 Sub M35 P &amp; L</t>
  </si>
  <si>
    <t>S038-NA--12.6</t>
  </si>
  <si>
    <t>NTA T4 Sub M45 P &amp; L</t>
  </si>
  <si>
    <t>S038-NA--12.7</t>
  </si>
  <si>
    <t>NTA T4 Sub M50 P &amp; L</t>
  </si>
  <si>
    <t>S038-NA--12.8</t>
  </si>
  <si>
    <t>NTA T4 Sub M35 TCC P &amp; L</t>
  </si>
  <si>
    <t>S038-NA--1.3</t>
  </si>
  <si>
    <t>T1 Sub Plum Concrete- P &amp; L</t>
  </si>
  <si>
    <t>S038-NA--13.13</t>
  </si>
  <si>
    <t>T1 Super Convent. Formwork P &amp; F</t>
  </si>
  <si>
    <t>S038-NA--13.23</t>
  </si>
  <si>
    <t>T1 Super Reinforcement Work upto 3rd floor</t>
  </si>
  <si>
    <t>S038-NA--13.24</t>
  </si>
  <si>
    <t>T1 Super Reinforcement Work 4th to 7th floor</t>
  </si>
  <si>
    <t>S038-NA--13.25</t>
  </si>
  <si>
    <t>T1 Super Reinforcement Work 8th to 11th floor</t>
  </si>
  <si>
    <t>S038-NA--13.26</t>
  </si>
  <si>
    <t>T1 Super Reinforcement Work 12th to 15th floor</t>
  </si>
  <si>
    <t>S038-NA--13.27</t>
  </si>
  <si>
    <t>T1 Super Reinforcement Work 16th to 19th floor</t>
  </si>
  <si>
    <t>S038-NA--13.28</t>
  </si>
  <si>
    <t>T1 Super Reinforcement Work 20th to 23rd floor</t>
  </si>
  <si>
    <t>S038-NA--13.29</t>
  </si>
  <si>
    <t>T1 Super Reinforcement Work 24rth to 27th floor</t>
  </si>
  <si>
    <t>S038-NA--13.31</t>
  </si>
  <si>
    <t>T1 Super Reinforcement Work 32nd to 35th floor</t>
  </si>
  <si>
    <t>S038-NA--13.3-1</t>
  </si>
  <si>
    <t>T1 Super Reinforcement Work 28th to 31st floor</t>
  </si>
  <si>
    <t>S038-NA--13.32</t>
  </si>
  <si>
    <t>T1 Super Coupler 20 Dia - S &amp; L</t>
  </si>
  <si>
    <t>S038-NA--13.33</t>
  </si>
  <si>
    <t>T1 Super Coupler 25 Dia - S &amp; L</t>
  </si>
  <si>
    <t>S038-NA--13.34</t>
  </si>
  <si>
    <t>T1 Super Coupler 32 Dia - S &amp; L</t>
  </si>
  <si>
    <t>S038-NA--13.35</t>
  </si>
  <si>
    <t>T1 Super Reduced Coupler 25-20 Dia - S &amp; L</t>
  </si>
  <si>
    <t>S038-NA--13.36</t>
  </si>
  <si>
    <t>T1 Super Reduced Coupler 32-25 Dia - S &amp; L</t>
  </si>
  <si>
    <t>S038-NA--13.37</t>
  </si>
  <si>
    <t>T1 Super Reduced Coupler 32-20 Dia - S &amp; L</t>
  </si>
  <si>
    <t>S038-NA--1.4</t>
  </si>
  <si>
    <t>T1 Sub M10 PCC</t>
  </si>
  <si>
    <t>S038-NA--14.13</t>
  </si>
  <si>
    <t>T2 Super Convent. Formwork P &amp; F</t>
  </si>
  <si>
    <t>S038-NA--14.23</t>
  </si>
  <si>
    <t>T2 Super Reinforcement Work- Laying upto 3rd floor</t>
  </si>
  <si>
    <t>S038-NA--14.24</t>
  </si>
  <si>
    <t>T2 Super Reinforcement Work- Laying 4th to 7th floor</t>
  </si>
  <si>
    <t>S038-NA--14.25</t>
  </si>
  <si>
    <t>T2 Super Reinforcement Work- Laying 8th to 11th floor</t>
  </si>
  <si>
    <t>S038-NA--14.26</t>
  </si>
  <si>
    <t>T2 Super Reinforcement Work- Laying 12th to 15th floor</t>
  </si>
  <si>
    <t>S038-NA--14.27</t>
  </si>
  <si>
    <t>T2 Super Reinforcement Work- Laying 16th to 19th floor</t>
  </si>
  <si>
    <t>S038-NA--14.28</t>
  </si>
  <si>
    <t>T2 Super Reinforcement Work- Laying 20th to 23rd floor</t>
  </si>
  <si>
    <t>S038-NA--14.29</t>
  </si>
  <si>
    <t>T2 Super Reinforcement Work- Laying 24rth to 27th floor</t>
  </si>
  <si>
    <t>S038-NA--14.31</t>
  </si>
  <si>
    <t>T2 Super Reinforcement Work- Laying 32nd to 35th floor</t>
  </si>
  <si>
    <t>S038-NA--14.3-1</t>
  </si>
  <si>
    <t>T2 Super Reinforcement Work- Laying 28th to 31st floor</t>
  </si>
  <si>
    <t>S038-NA--14.32</t>
  </si>
  <si>
    <t>T2 Super Coupler 20 Dia - S &amp; L</t>
  </si>
  <si>
    <t>S038-NA--14.33</t>
  </si>
  <si>
    <t>T2 Super Coupler 25 Dia - S &amp; L</t>
  </si>
  <si>
    <t>S038-NA--14.34</t>
  </si>
  <si>
    <t>T2 Super Coupler 32 Dia - S &amp; L</t>
  </si>
  <si>
    <t>S038-NA--14.35</t>
  </si>
  <si>
    <t>T2 Super Reduced Coupler 25-20 Dia - S &amp; L</t>
  </si>
  <si>
    <t>S038-NA--14.36</t>
  </si>
  <si>
    <t>T2 Super Reduced Coupler 32-25 Dia - S &amp; L</t>
  </si>
  <si>
    <t>S038-NA--14.37</t>
  </si>
  <si>
    <t>T2 Super Reduced Coupler 32-20 Dia - S &amp; L</t>
  </si>
  <si>
    <t>S038-NA--1.5</t>
  </si>
  <si>
    <t>T1 Sub M55 P &amp; L</t>
  </si>
  <si>
    <t>RMC M-55</t>
  </si>
  <si>
    <t>S038-NA--15.13</t>
  </si>
  <si>
    <t>T3 Super Convent. Formwork P &amp; F</t>
  </si>
  <si>
    <t>S038-NA--15.23</t>
  </si>
  <si>
    <t>T3 Super Reinforcement Work upto 3rd floor</t>
  </si>
  <si>
    <t>S038-NA--15.24</t>
  </si>
  <si>
    <t>T3 Super Reinforcement Work 4th to 7th floor</t>
  </si>
  <si>
    <t>S038-NA--15.25</t>
  </si>
  <si>
    <t>T3 Super Reinforcement Work 8th to 11th floor</t>
  </si>
  <si>
    <t>S038-NA--15.26</t>
  </si>
  <si>
    <t>T3 Super Reinforcement Work 12th to 15th floor</t>
  </si>
  <si>
    <t>S038-NA--15.27</t>
  </si>
  <si>
    <t>T3 Super Reinforcement Work 16th to 19th floor</t>
  </si>
  <si>
    <t>S038-NA--15.28</t>
  </si>
  <si>
    <t>T3 Super Reinforcement Work 20th to 23rd floor</t>
  </si>
  <si>
    <t>S038-NA--15.29</t>
  </si>
  <si>
    <t>T3 Super Reinforcement Work 24rth to 27th floor</t>
  </si>
  <si>
    <t>S038-NA--15.31</t>
  </si>
  <si>
    <t>T3 Super Reinforcement Work 32nd to 35th floor</t>
  </si>
  <si>
    <t>S038-NA--15.3-1</t>
  </si>
  <si>
    <t>T3 Super Reinforcement Work 28th to 31st floor</t>
  </si>
  <si>
    <t>S038-NA--15.32</t>
  </si>
  <si>
    <t>T3 Super Coupler 20 Dia - S &amp; L</t>
  </si>
  <si>
    <t>S038-NA--15.33</t>
  </si>
  <si>
    <t>T3 Super Coupler 25 Dia - S &amp; L</t>
  </si>
  <si>
    <t>S038-NA--15.34</t>
  </si>
  <si>
    <t>T3 Super Coupler 32 Dia - S &amp; L</t>
  </si>
  <si>
    <t>S038-NA--15.35</t>
  </si>
  <si>
    <t>T3 Super Reduced Coupler 25-20 Dia - S &amp; L</t>
  </si>
  <si>
    <t>S038-NA--15.36</t>
  </si>
  <si>
    <t>T3 Super Reduced Coupler 32-25 Dia - S &amp; L</t>
  </si>
  <si>
    <t>S038-NA--15.37</t>
  </si>
  <si>
    <t>T3 Super Reduced Coupler 32-20 Dia - S &amp; L</t>
  </si>
  <si>
    <t>S038-NA--1.6</t>
  </si>
  <si>
    <t>T1 Sub M45 TCC P &amp; L</t>
  </si>
  <si>
    <t>RMC M-45TCC</t>
  </si>
  <si>
    <t>S038-NA--16.13</t>
  </si>
  <si>
    <t>T4 Super Convent. Formwork P &amp; F</t>
  </si>
  <si>
    <t>S038-NA--16.23</t>
  </si>
  <si>
    <t>T4 Super Reinforcement Work upto 3rd floor</t>
  </si>
  <si>
    <t>S038-NA--16.24</t>
  </si>
  <si>
    <t>T4 Super Reinforcement Work 4th to 7th floor</t>
  </si>
  <si>
    <t>S038-NA--16.25</t>
  </si>
  <si>
    <t>T4 Super Reinforcement Work 8th to 11th floor</t>
  </si>
  <si>
    <t>S038-NA--16.26</t>
  </si>
  <si>
    <t>T4 Super Reinforcement Work 12th to 15th floor</t>
  </si>
  <si>
    <t>S038-NA--16.27</t>
  </si>
  <si>
    <t>T4 Super Reinforcement Work 16th to 19th floor</t>
  </si>
  <si>
    <t>S038-NA--16.28</t>
  </si>
  <si>
    <t>T4 Super Reinforcement Work 20th to 23rd floor</t>
  </si>
  <si>
    <t>S038-NA--16.29</t>
  </si>
  <si>
    <t>T4 Super Reinforcement Work 24rth to 27th floor</t>
  </si>
  <si>
    <t>S038-NA--16.31</t>
  </si>
  <si>
    <t>T4 Super Reinforcement Work 32nd to 35th floor</t>
  </si>
  <si>
    <t>S038-NA--16.3-1</t>
  </si>
  <si>
    <t>T4 Super Reinforcement Work 28th to 31st floor</t>
  </si>
  <si>
    <t>S038-NA--16.32</t>
  </si>
  <si>
    <t>T4 Super Coupler 20mm Dia P &amp; F</t>
  </si>
  <si>
    <t>S038-NA--16.33</t>
  </si>
  <si>
    <t>T4 Super Coupler 25mm Dia P &amp; F</t>
  </si>
  <si>
    <t>S038-NA--16.34</t>
  </si>
  <si>
    <t>T4 Super Coupler 32mm Dia P &amp; F</t>
  </si>
  <si>
    <t>S038-NA--16.35</t>
  </si>
  <si>
    <t>T4 Super Reduced Coupler 25-20mm Dia P &amp; F</t>
  </si>
  <si>
    <t>S038-NA--16.36</t>
  </si>
  <si>
    <t>T4 Super Reduced Coupler 32-25mm Dia P &amp; F</t>
  </si>
  <si>
    <t>S038-NA--16.37</t>
  </si>
  <si>
    <t>T4 Super Reduced Coupler 32-20mm Dia P &amp; F</t>
  </si>
  <si>
    <t>S038-NA--17.1</t>
  </si>
  <si>
    <t>CH Super M35 P &amp; L</t>
  </si>
  <si>
    <t>S038-NA--17.2</t>
  </si>
  <si>
    <t>CH Super M45 P &amp; L</t>
  </si>
  <si>
    <t>S038-NA--17.3</t>
  </si>
  <si>
    <t>CH Super Convent.Formwork P &amp; F</t>
  </si>
  <si>
    <t>S038-NA--17.4</t>
  </si>
  <si>
    <t>CH Super Reinforcement Work</t>
  </si>
  <si>
    <t>S038-NA--1.8</t>
  </si>
  <si>
    <t>T1 Sub Thermocouple sensosrs P &amp; F</t>
  </si>
  <si>
    <t>S038-NA--1.9</t>
  </si>
  <si>
    <t>T1 Sub Thermocol P &amp; L Material</t>
  </si>
  <si>
    <t>THERMOCOL</t>
  </si>
  <si>
    <t>LDPE Sheet 150 Micron</t>
  </si>
  <si>
    <t>S038-NA--2.1</t>
  </si>
  <si>
    <t>T2 Sub Soiling</t>
  </si>
  <si>
    <t>S038-NA--2.11</t>
  </si>
  <si>
    <t>T2 Sub Conven. Formwork P &amp; F</t>
  </si>
  <si>
    <t>S038-NA--2.12</t>
  </si>
  <si>
    <t>T2 Sub Reinforcement Work- Laying</t>
  </si>
  <si>
    <t>S038-NA--2.13</t>
  </si>
  <si>
    <t>T2 Sub Coupler 20mm Dia - S &amp; L</t>
  </si>
  <si>
    <t>S038-NA--2.14</t>
  </si>
  <si>
    <t>T2 Sub Coupler 25mm Dia - S &amp; L</t>
  </si>
  <si>
    <t>S038-NA--2.15</t>
  </si>
  <si>
    <t>T2 Sub Coupler 32mm Dia - S &amp; L</t>
  </si>
  <si>
    <t>S038-NA--2.16</t>
  </si>
  <si>
    <t>T2 Sub Reduced Coupler 25-20 Dia - S &amp; L</t>
  </si>
  <si>
    <t>S038-NA--2.17</t>
  </si>
  <si>
    <t>T2 Sub Reduced Coupler 32-25 Dia - S &amp; L</t>
  </si>
  <si>
    <t>S038-NA--2.18</t>
  </si>
  <si>
    <t>T2 Sub Reduced Coupler 32-20 Dia - S &amp; L</t>
  </si>
  <si>
    <t>S038-NA--2.2</t>
  </si>
  <si>
    <t>T2 Sub ATT</t>
  </si>
  <si>
    <t>S038-NA--2.3</t>
  </si>
  <si>
    <t>T2 Sub Plum Concrete</t>
  </si>
  <si>
    <t>S038-NA--2.4</t>
  </si>
  <si>
    <t>T2 Sub M10 PCC</t>
  </si>
  <si>
    <t>S038-NA--2.5</t>
  </si>
  <si>
    <t>T2 Sub M55 P &amp; L</t>
  </si>
  <si>
    <t>S038-NA--2.6</t>
  </si>
  <si>
    <t>T2 Sub M45 TCC P &amp; L</t>
  </si>
  <si>
    <t>S038-NA--2.8</t>
  </si>
  <si>
    <t>T2 Sub Thermocouple sensosrs P &amp; F</t>
  </si>
  <si>
    <t>S038-NA--2.9</t>
  </si>
  <si>
    <t>T2 Sub Thermocol P &amp; L Material</t>
  </si>
  <si>
    <t>S038-NA--3.1</t>
  </si>
  <si>
    <t>T3 Sub Soiling</t>
  </si>
  <si>
    <t>S038-NA--3.11</t>
  </si>
  <si>
    <t>T3 Sub Conven. Formwork P &amp; F</t>
  </si>
  <si>
    <t>SILVER PATTI WOOD 3.5'' X 2.5"</t>
  </si>
  <si>
    <t>RCC Cover Block 50MM Round</t>
  </si>
  <si>
    <t>RCC Cover Block 50MM Square</t>
  </si>
  <si>
    <t>RCC COVER BLOCK 75MM ROUND</t>
  </si>
  <si>
    <t>MS Props 2 X 2</t>
  </si>
  <si>
    <t>MS Props 2 X 3</t>
  </si>
  <si>
    <t>MS Tie Rod 16MM</t>
  </si>
  <si>
    <t>MS Waller 2 RMT</t>
  </si>
  <si>
    <t>Wing Nut</t>
  </si>
  <si>
    <t>MS CHANNEL 100x50 - 20 Ft</t>
  </si>
  <si>
    <t>S038-NA--3.12</t>
  </si>
  <si>
    <t>T3 Sub Reinforcement Work- Laying</t>
  </si>
  <si>
    <t>S038-NA--3.13</t>
  </si>
  <si>
    <t>T3 Sub Coupler 20mm Dia - S &amp; L</t>
  </si>
  <si>
    <t>S038-NA--3.14</t>
  </si>
  <si>
    <t>T3 Sub Coupler 25mm Dia - S &amp; L</t>
  </si>
  <si>
    <t>S038-NA--3.15</t>
  </si>
  <si>
    <t>T3 Sub Coupler 32mm Dia - S &amp; L</t>
  </si>
  <si>
    <t>S038-NA--3.16</t>
  </si>
  <si>
    <t>T3 Sub Reduced Coupler 25-20 Dia - S &amp; L</t>
  </si>
  <si>
    <t>S038-NA--3.17</t>
  </si>
  <si>
    <t>T3 Sub Reduced Coupler 32-25 Dia - S &amp; L</t>
  </si>
  <si>
    <t>S038-NA--3.18</t>
  </si>
  <si>
    <t>T3 Sub Reduced Coupler 32-20 Dia - S &amp; L</t>
  </si>
  <si>
    <t>S038-NA--3.2</t>
  </si>
  <si>
    <t>T3 Sub ATT</t>
  </si>
  <si>
    <t>S038-NA--3.3</t>
  </si>
  <si>
    <t>T3 Sub Plum Concrete</t>
  </si>
  <si>
    <t>S038-NA--3.4</t>
  </si>
  <si>
    <t>T3 Sub M10 PCC</t>
  </si>
  <si>
    <t>S038-NA--3.5</t>
  </si>
  <si>
    <t>T3 Sub M55 P &amp; L</t>
  </si>
  <si>
    <t>Rendroc Fc Make Fosroc</t>
  </si>
  <si>
    <t>Rendroc Hs Extra MakeFosroc</t>
  </si>
  <si>
    <t>S038-NA--3.6</t>
  </si>
  <si>
    <t>T3 Sub M45 TCC P &amp; L</t>
  </si>
  <si>
    <t>FAIRMATE CHEMGROUT 60 SC GUNGRADE MORTAR</t>
  </si>
  <si>
    <t>S038-NA--3.8</t>
  </si>
  <si>
    <t>T3 Sub Thermocouple sensosrs P &amp; F</t>
  </si>
  <si>
    <t>S038-NA--3.9</t>
  </si>
  <si>
    <t>T3 Sub Thermocol P &amp; L Material</t>
  </si>
  <si>
    <t>S038-NA--4.1</t>
  </si>
  <si>
    <t>T4 Sub Soiling</t>
  </si>
  <si>
    <t>S038-NA--4.11</t>
  </si>
  <si>
    <t>T4 Sub Conven. Formwork P &amp; F</t>
  </si>
  <si>
    <t>S038-NA--4.12</t>
  </si>
  <si>
    <t>T4 Sub Reinforcement Work- Laying</t>
  </si>
  <si>
    <t>S038-NA--4.13</t>
  </si>
  <si>
    <t>T4 Sub Coupler 20mm Dia - S &amp; L</t>
  </si>
  <si>
    <t>S038-NA--4.14</t>
  </si>
  <si>
    <t>T4 Sub Coupler 25mm Dia - S &amp; L</t>
  </si>
  <si>
    <t>S038-NA--4.15</t>
  </si>
  <si>
    <t>T4 Sub Coupler 32mm Dia - S &amp; L</t>
  </si>
  <si>
    <t>S038-NA--4.16</t>
  </si>
  <si>
    <t>T4 Sub Reduced Coupler 25-20 Dia - S &amp; L</t>
  </si>
  <si>
    <t>S038-NA--4.17</t>
  </si>
  <si>
    <t>T4 Sub Reduced Coupler 32-25 Dia - S &amp; L</t>
  </si>
  <si>
    <t>S038-NA--4.18</t>
  </si>
  <si>
    <t>T4 Sub Reduced Coupler 32-20 Dia - S &amp; L</t>
  </si>
  <si>
    <t>S038-NA--4.2</t>
  </si>
  <si>
    <t>T4 Sub ATT</t>
  </si>
  <si>
    <t>S038-NA--4.3</t>
  </si>
  <si>
    <t>T4 Sub Plum Concrete</t>
  </si>
  <si>
    <t>S038-NA--4.4</t>
  </si>
  <si>
    <t>T4 Sub M10 PCC</t>
  </si>
  <si>
    <t>S038-NA--4.5</t>
  </si>
  <si>
    <t>T4 Sub M55 P &amp; L</t>
  </si>
  <si>
    <t>S038-NA--4.6</t>
  </si>
  <si>
    <t>T4 Sub M45 TCC P &amp; L</t>
  </si>
  <si>
    <t>S038-NA--4.8</t>
  </si>
  <si>
    <t>T4 Sub Thermocouple sensosrs P &amp; F</t>
  </si>
  <si>
    <t>S038-NA--4.9</t>
  </si>
  <si>
    <t>T4 Sub Thermocol P &amp; L Material</t>
  </si>
  <si>
    <t>S038-NA--5.1</t>
  </si>
  <si>
    <t>UGWT M35 P &amp; L</t>
  </si>
  <si>
    <t>S038-NA--5.2</t>
  </si>
  <si>
    <t>UGWT Conven. Formwork P &amp; F</t>
  </si>
  <si>
    <t>S038-NA--5.3</t>
  </si>
  <si>
    <t>UGWT Sub Reinforcement Work- Laying</t>
  </si>
  <si>
    <t>S038-NA--6.1</t>
  </si>
  <si>
    <t>Substation M35 P &amp; L</t>
  </si>
  <si>
    <t>S038-NA--6.2</t>
  </si>
  <si>
    <t>Substation Conven. Formwork P &amp; F</t>
  </si>
  <si>
    <t>S038-NA--6.3</t>
  </si>
  <si>
    <t>Substation Sub Reinforcement Work - Laying</t>
  </si>
  <si>
    <t>S038-NA--7.1</t>
  </si>
  <si>
    <t>CH Sub M45 P &amp; L</t>
  </si>
  <si>
    <t>S038-NA--7.2</t>
  </si>
  <si>
    <t>CH Sub Convent. Formwork P &amp; F</t>
  </si>
  <si>
    <t>S038-NA--7.3</t>
  </si>
  <si>
    <t>CH Sub Reinforcement Work - Laying</t>
  </si>
  <si>
    <t>S038-NA--8.1</t>
  </si>
  <si>
    <t>Tower Retail Sub Plum Concrete</t>
  </si>
  <si>
    <t>S038-NA--8.2</t>
  </si>
  <si>
    <t>Tower Retail Sub M10 PCC</t>
  </si>
  <si>
    <t>S038-NA--8.3</t>
  </si>
  <si>
    <t>Tower Retail Sub M55 P &amp; L</t>
  </si>
  <si>
    <t>S038-NA--8.4</t>
  </si>
  <si>
    <t>Tower Retail Sub M45 TCC P &amp; L</t>
  </si>
  <si>
    <t>S038-NA--8.5</t>
  </si>
  <si>
    <t>Tower Retail Sub Convent. Formwork P &amp; F</t>
  </si>
  <si>
    <t>S038-NA--8.6</t>
  </si>
  <si>
    <t>Tower Retail Sub Reinforcement Work- Laying</t>
  </si>
  <si>
    <t>S038-NA--9.1</t>
  </si>
  <si>
    <t>NTA T1 Sub Soiling</t>
  </si>
  <si>
    <t>S038-NA--9.11</t>
  </si>
  <si>
    <t>NTA T1 Sub Convent. Formwork P &amp; F</t>
  </si>
  <si>
    <t>S038-NA--9.1-1</t>
  </si>
  <si>
    <t>NTA T1 Sub Thermocouple sensosrs P &amp; F</t>
  </si>
  <si>
    <t>S038-NA--9.12</t>
  </si>
  <si>
    <t>NTA T1 Sub Reinforcement Work - Laying</t>
  </si>
  <si>
    <t>S038-NA--9.13</t>
  </si>
  <si>
    <t>NTA T1 Sub Coupler 20 Dia - S &amp; L</t>
  </si>
  <si>
    <t>S038-NA--9.14</t>
  </si>
  <si>
    <t>NTA T1 Sub Coupler 25 Dia - S &amp; L</t>
  </si>
  <si>
    <t>S038-NA--9.15</t>
  </si>
  <si>
    <t>NTA T1 Sub Coupler 32 Dia - S &amp; L</t>
  </si>
  <si>
    <t>S038-NA--9.16</t>
  </si>
  <si>
    <t>NTA T1 Sub Reduced Coupler 25-20 Dia - S &amp; L</t>
  </si>
  <si>
    <t>S038-NA--9.17</t>
  </si>
  <si>
    <t>NTA T1 Sub Reduced Coupler 32-25 Dia - S &amp; L</t>
  </si>
  <si>
    <t>S038-NA--9.18</t>
  </si>
  <si>
    <t>NTA T1 Sub Reduced Coupler 32-20 Dia - S &amp; L</t>
  </si>
  <si>
    <t>S038-NA--9.2</t>
  </si>
  <si>
    <t>NTA T1 Sub ATT</t>
  </si>
  <si>
    <t>S038-NA--9.3</t>
  </si>
  <si>
    <t>NTA T1 Sub Plum Concrete</t>
  </si>
  <si>
    <t>S038-NA--9.4</t>
  </si>
  <si>
    <t>NTA T1 Sub M10 PCC</t>
  </si>
  <si>
    <t>S038-NA--9.5</t>
  </si>
  <si>
    <t>NTA T1 Sub M35 P &amp; L</t>
  </si>
  <si>
    <t>S038-NA--9.6</t>
  </si>
  <si>
    <t>NTA T1 Sub M45 P &amp; L</t>
  </si>
  <si>
    <t>S038-NA--9.7</t>
  </si>
  <si>
    <t>NTA T1 Sub M50 P &amp; L</t>
  </si>
  <si>
    <t>S038-NA--9.8</t>
  </si>
  <si>
    <t>NTA T1 Sub M35 TCC P &amp; L</t>
  </si>
  <si>
    <t>S038-NA--R1.1</t>
  </si>
  <si>
    <t>T1 Sub Hi Ribs</t>
  </si>
  <si>
    <t>S038-NA--R2.1</t>
  </si>
  <si>
    <t>T2 Sub Hi Ribs</t>
  </si>
  <si>
    <t>S038-NA--R3.1</t>
  </si>
  <si>
    <t>T3 Sub Hi Ribs</t>
  </si>
  <si>
    <t>S038-NA--R4.1</t>
  </si>
  <si>
    <t>T4 Sub Hi Ribs</t>
  </si>
  <si>
    <t>XX</t>
  </si>
  <si>
    <t>VTP VOLARE</t>
  </si>
  <si>
    <t>Site Office Establishment</t>
  </si>
  <si>
    <t>Sr. No.</t>
  </si>
  <si>
    <t>WBS</t>
  </si>
  <si>
    <t>Site Office Establishment Work as per Logistic Plan</t>
  </si>
  <si>
    <t>EHS</t>
  </si>
  <si>
    <t>Enviromental, Health &amp; Safety</t>
  </si>
  <si>
    <t>P &amp; M</t>
  </si>
  <si>
    <t xml:space="preserve">P &amp; M </t>
  </si>
  <si>
    <t>Labour Camp</t>
  </si>
  <si>
    <t>QAQC</t>
  </si>
  <si>
    <t>QAQC Works</t>
  </si>
  <si>
    <t>Testing</t>
  </si>
  <si>
    <t>Surveying</t>
  </si>
  <si>
    <t>Repair &amp; Maintenance Work</t>
  </si>
  <si>
    <t xml:space="preserve">Conventional Slab </t>
  </si>
  <si>
    <t>Purchase &amp; Store</t>
  </si>
  <si>
    <t xml:space="preserve">Purchase Material &amp; Store </t>
  </si>
  <si>
    <t>H - Cuplock Ledger 1.8 Mtr</t>
  </si>
  <si>
    <t>H - Cuplock Vertical 1.8 Mtr</t>
  </si>
  <si>
    <t xml:space="preserve">Consumable Material </t>
  </si>
  <si>
    <t>Consumable Conven. Material</t>
  </si>
  <si>
    <t>Consumable Conven. Formwork</t>
  </si>
  <si>
    <t>Shuttering Oil Reebol Oil</t>
  </si>
  <si>
    <t>White Pigmented Concrete Curing Cmpound</t>
  </si>
  <si>
    <t>Pumpable Gungrade Mortar</t>
  </si>
  <si>
    <t>Gp2 Conbextra</t>
  </si>
  <si>
    <t>Consumable Material Others</t>
  </si>
  <si>
    <t>P - Cement OPC</t>
  </si>
  <si>
    <t>Cement OPC</t>
  </si>
  <si>
    <t>P - Cement PPC</t>
  </si>
  <si>
    <t>Cement PPC</t>
  </si>
  <si>
    <t>Tower - 1</t>
  </si>
  <si>
    <t>Head</t>
  </si>
  <si>
    <t>T1 Foundation</t>
  </si>
  <si>
    <t>Dressing</t>
  </si>
  <si>
    <t>T1 FDN - Dressing</t>
  </si>
  <si>
    <t>PCC Formwork</t>
  </si>
  <si>
    <t>T1 FDN - PCC Convent. Formwork</t>
  </si>
  <si>
    <t>Labour for Shuttering &amp; De-shuttering</t>
  </si>
  <si>
    <t>PCC Concrete</t>
  </si>
  <si>
    <t>T1 FDN - PCC M10</t>
  </si>
  <si>
    <t>Raft Reinforcement</t>
  </si>
  <si>
    <t>T1 FDN Raft Reinf. Work</t>
  </si>
  <si>
    <t>Raft Formwork</t>
  </si>
  <si>
    <t>T1 FDN Raft Convent. Formwork</t>
  </si>
  <si>
    <t>Scaffolding Work - Item Rate</t>
  </si>
  <si>
    <t>Water Stopper Tie Rod</t>
  </si>
  <si>
    <t>Raft Concrete</t>
  </si>
  <si>
    <t>T1 FDN - Raft M30 RCC</t>
  </si>
  <si>
    <t>Footing Formwrk</t>
  </si>
  <si>
    <t>T1 FDN Raft Conventional Formwork</t>
  </si>
  <si>
    <t>Footing Concrete</t>
  </si>
  <si>
    <t>T1 FDN - Footing M30 RCC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</si>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</sst>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.###############"/>
  </numFmts>
  <fonts count="29"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color indexed="8"/>
      <name val="Calibri"/>
      <charset val="134"/>
    </font>
    <font>
      <sz val="12"/>
      <name val="Calibri"/>
      <charset val="134"/>
    </font>
    <font>
      <b/>
      <sz val="12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2" fontId="0" fillId="0" borderId="1" xfId="0" applyNumberFormat="1" applyBorder="1"/>
    <xf numFmtId="176" fontId="0" fillId="0" borderId="1" xfId="1" applyBorder="1"/>
    <xf numFmtId="176" fontId="0" fillId="0" borderId="0" xfId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6" fontId="0" fillId="0" borderId="1" xfId="1" applyFont="1" applyBorder="1"/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80" fontId="5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/>
    <xf numFmtId="2" fontId="6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80" fontId="8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justify" vertical="center" wrapText="1"/>
    </xf>
    <xf numFmtId="2" fontId="0" fillId="0" borderId="1" xfId="0" applyNumberFormat="1" applyBorder="1" applyAlignment="1">
      <alignment vertical="center"/>
    </xf>
    <xf numFmtId="0" fontId="0" fillId="0" borderId="0" xfId="0" applyFont="1" applyFill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/>
    <xf numFmtId="2" fontId="0" fillId="0" borderId="1" xfId="0" applyNumberFormat="1" applyFont="1" applyFill="1" applyBorder="1" applyAlignment="1"/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justify" vertical="center" wrapText="1"/>
    </xf>
    <xf numFmtId="180" fontId="0" fillId="2" borderId="0" xfId="0" applyNumberFormat="1" applyFill="1"/>
    <xf numFmtId="2" fontId="0" fillId="0" borderId="0" xfId="0" applyNumberFormat="1"/>
    <xf numFmtId="176" fontId="0" fillId="0" borderId="0" xfId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88"/>
  <sheetViews>
    <sheetView topLeftCell="A385" workbookViewId="0">
      <selection activeCell="B378" sqref="B378"/>
    </sheetView>
  </sheetViews>
  <sheetFormatPr defaultColWidth="26.8888888888889" defaultRowHeight="14.4"/>
  <cols>
    <col min="1" max="1" width="24.1111111111111" customWidth="1"/>
    <col min="2" max="2" width="29.7777777777778" customWidth="1"/>
    <col min="3" max="3" width="17.7777777777778" customWidth="1"/>
    <col min="4" max="4" width="36.7777777777778" customWidth="1"/>
    <col min="5" max="5" width="54.8888888888889" customWidth="1"/>
    <col min="6" max="6" width="11.3333333333333" customWidth="1"/>
    <col min="7" max="7" width="15.2222222222222" customWidth="1"/>
    <col min="8" max="8" width="11.2222222222222" customWidth="1"/>
    <col min="9" max="9" width="10.4444444444444" customWidth="1"/>
    <col min="10" max="10" width="12.6666666666667" customWidth="1"/>
  </cols>
  <sheetData>
    <row r="1" spans="1:10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  <c r="G1" s="90" t="s">
        <v>6</v>
      </c>
      <c r="H1" s="90"/>
      <c r="I1" s="90" t="s">
        <v>7</v>
      </c>
      <c r="J1" s="90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91">
        <v>100</v>
      </c>
      <c r="H2" s="91"/>
      <c r="I2" s="91">
        <v>440</v>
      </c>
      <c r="J2" s="91">
        <v>44000</v>
      </c>
    </row>
    <row r="3" spans="1:10">
      <c r="A3" t="s">
        <v>9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 s="91">
        <v>100</v>
      </c>
      <c r="H3" s="91"/>
      <c r="I3" s="91">
        <v>600</v>
      </c>
      <c r="J3" s="91">
        <v>60000</v>
      </c>
    </row>
    <row r="4" spans="1:10">
      <c r="A4" t="s">
        <v>9</v>
      </c>
      <c r="B4" t="s">
        <v>10</v>
      </c>
      <c r="C4" t="s">
        <v>11</v>
      </c>
      <c r="D4" t="s">
        <v>10</v>
      </c>
      <c r="E4" t="s">
        <v>16</v>
      </c>
      <c r="F4" t="s">
        <v>17</v>
      </c>
      <c r="G4" s="91">
        <v>10000</v>
      </c>
      <c r="H4" s="91"/>
      <c r="I4" s="91">
        <v>230</v>
      </c>
      <c r="J4" s="91">
        <v>2300000</v>
      </c>
    </row>
    <row r="5" spans="1:10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s="91">
        <v>50</v>
      </c>
      <c r="H5" s="91"/>
      <c r="I5" s="91">
        <v>4000</v>
      </c>
      <c r="J5" s="91">
        <v>200000</v>
      </c>
    </row>
    <row r="6" spans="1:10">
      <c r="A6" t="s">
        <v>18</v>
      </c>
      <c r="B6" t="s">
        <v>19</v>
      </c>
      <c r="C6" t="s">
        <v>11</v>
      </c>
      <c r="D6" t="s">
        <v>24</v>
      </c>
      <c r="E6" t="s">
        <v>25</v>
      </c>
      <c r="F6" t="s">
        <v>14</v>
      </c>
      <c r="G6" s="91">
        <v>110</v>
      </c>
      <c r="H6" s="91"/>
      <c r="I6" s="91">
        <v>600</v>
      </c>
      <c r="J6" s="91">
        <v>66000</v>
      </c>
    </row>
    <row r="7" spans="1:10">
      <c r="A7" t="s">
        <v>18</v>
      </c>
      <c r="B7" t="s">
        <v>19</v>
      </c>
      <c r="C7" t="s">
        <v>11</v>
      </c>
      <c r="D7" t="s">
        <v>24</v>
      </c>
      <c r="E7" t="s">
        <v>26</v>
      </c>
      <c r="F7" t="s">
        <v>14</v>
      </c>
      <c r="G7" s="91">
        <v>70</v>
      </c>
      <c r="H7" s="91"/>
      <c r="I7" s="91">
        <v>450</v>
      </c>
      <c r="J7" s="91">
        <v>31500</v>
      </c>
    </row>
    <row r="8" spans="1:10">
      <c r="A8" t="s">
        <v>18</v>
      </c>
      <c r="B8" t="s">
        <v>19</v>
      </c>
      <c r="C8" t="s">
        <v>11</v>
      </c>
      <c r="D8" t="s">
        <v>12</v>
      </c>
      <c r="E8" t="s">
        <v>27</v>
      </c>
      <c r="F8" t="s">
        <v>14</v>
      </c>
      <c r="G8" s="91">
        <v>343.4</v>
      </c>
      <c r="H8" s="91"/>
      <c r="I8" s="91">
        <v>370</v>
      </c>
      <c r="J8" s="91">
        <v>127058</v>
      </c>
    </row>
    <row r="9" spans="1:10">
      <c r="A9" t="s">
        <v>18</v>
      </c>
      <c r="B9" t="s">
        <v>19</v>
      </c>
      <c r="C9" t="s">
        <v>11</v>
      </c>
      <c r="D9" t="s">
        <v>12</v>
      </c>
      <c r="E9" t="s">
        <v>13</v>
      </c>
      <c r="F9" t="s">
        <v>14</v>
      </c>
      <c r="G9" s="91">
        <v>2787</v>
      </c>
      <c r="H9" s="91"/>
      <c r="I9" s="91">
        <v>450</v>
      </c>
      <c r="J9" s="91">
        <v>1254150</v>
      </c>
    </row>
    <row r="10" spans="1:10">
      <c r="A10" t="s">
        <v>18</v>
      </c>
      <c r="B10" t="s">
        <v>19</v>
      </c>
      <c r="C10" t="s">
        <v>11</v>
      </c>
      <c r="D10" t="s">
        <v>12</v>
      </c>
      <c r="E10" t="s">
        <v>15</v>
      </c>
      <c r="F10" t="s">
        <v>14</v>
      </c>
      <c r="G10" s="91">
        <v>681.51</v>
      </c>
      <c r="H10" s="91"/>
      <c r="I10" s="91">
        <v>600</v>
      </c>
      <c r="J10" s="91">
        <v>408906</v>
      </c>
    </row>
    <row r="11" spans="1:10">
      <c r="A11" t="s">
        <v>18</v>
      </c>
      <c r="B11" t="s">
        <v>19</v>
      </c>
      <c r="C11" t="s">
        <v>11</v>
      </c>
      <c r="D11" t="s">
        <v>12</v>
      </c>
      <c r="E11" t="s">
        <v>28</v>
      </c>
      <c r="F11" t="s">
        <v>14</v>
      </c>
      <c r="G11" s="91">
        <v>283.22</v>
      </c>
      <c r="H11" s="91"/>
      <c r="I11" s="91">
        <v>600</v>
      </c>
      <c r="J11" s="91">
        <v>169932</v>
      </c>
    </row>
    <row r="12" spans="1:10">
      <c r="A12" t="s">
        <v>18</v>
      </c>
      <c r="B12" t="s">
        <v>19</v>
      </c>
      <c r="C12" t="s">
        <v>11</v>
      </c>
      <c r="D12" t="s">
        <v>29</v>
      </c>
      <c r="E12" t="s">
        <v>30</v>
      </c>
      <c r="F12" t="s">
        <v>23</v>
      </c>
      <c r="G12" s="91">
        <v>20</v>
      </c>
      <c r="H12" s="91"/>
      <c r="I12" s="91">
        <v>3050</v>
      </c>
      <c r="J12" s="91">
        <v>61000</v>
      </c>
    </row>
    <row r="13" spans="1:10">
      <c r="A13" t="s">
        <v>18</v>
      </c>
      <c r="B13" t="s">
        <v>19</v>
      </c>
      <c r="C13" t="s">
        <v>11</v>
      </c>
      <c r="D13" t="s">
        <v>29</v>
      </c>
      <c r="E13" t="s">
        <v>31</v>
      </c>
      <c r="F13" t="s">
        <v>32</v>
      </c>
      <c r="G13" s="91">
        <v>80</v>
      </c>
      <c r="H13" s="91"/>
      <c r="I13" s="91">
        <v>1000</v>
      </c>
      <c r="J13" s="91">
        <v>80000</v>
      </c>
    </row>
    <row r="14" spans="1:10">
      <c r="A14" t="s">
        <v>18</v>
      </c>
      <c r="B14" t="s">
        <v>19</v>
      </c>
      <c r="C14" t="s">
        <v>11</v>
      </c>
      <c r="D14" t="s">
        <v>29</v>
      </c>
      <c r="E14" t="s">
        <v>33</v>
      </c>
      <c r="F14" t="s">
        <v>34</v>
      </c>
      <c r="G14" s="91">
        <v>190</v>
      </c>
      <c r="H14" s="91"/>
      <c r="I14" s="91">
        <v>139.93</v>
      </c>
      <c r="J14" s="91">
        <v>26586.7</v>
      </c>
    </row>
    <row r="15" spans="1:10">
      <c r="A15" t="s">
        <v>18</v>
      </c>
      <c r="B15" t="s">
        <v>19</v>
      </c>
      <c r="C15" t="s">
        <v>35</v>
      </c>
      <c r="D15" t="s">
        <v>36</v>
      </c>
      <c r="E15" t="s">
        <v>37</v>
      </c>
      <c r="F15" t="s">
        <v>38</v>
      </c>
      <c r="G15" s="91">
        <v>50</v>
      </c>
      <c r="H15" s="91"/>
      <c r="I15" s="91">
        <v>2200</v>
      </c>
      <c r="J15" s="91">
        <v>110000</v>
      </c>
    </row>
    <row r="16" spans="1:10">
      <c r="A16" t="s">
        <v>18</v>
      </c>
      <c r="B16" t="s">
        <v>19</v>
      </c>
      <c r="C16" t="s">
        <v>35</v>
      </c>
      <c r="D16" t="s">
        <v>36</v>
      </c>
      <c r="E16" t="s">
        <v>39</v>
      </c>
      <c r="F16" t="s">
        <v>14</v>
      </c>
      <c r="G16" s="91">
        <v>4</v>
      </c>
      <c r="H16" s="91"/>
      <c r="I16" s="91">
        <v>14000</v>
      </c>
      <c r="J16" s="91">
        <v>56000</v>
      </c>
    </row>
    <row r="17" spans="1:10">
      <c r="A17" t="s">
        <v>18</v>
      </c>
      <c r="B17" t="s">
        <v>19</v>
      </c>
      <c r="C17" t="s">
        <v>11</v>
      </c>
      <c r="D17" t="s">
        <v>40</v>
      </c>
      <c r="E17" t="s">
        <v>41</v>
      </c>
      <c r="F17" t="s">
        <v>42</v>
      </c>
      <c r="G17" s="91">
        <v>230</v>
      </c>
      <c r="H17" s="91"/>
      <c r="I17" s="91">
        <v>270</v>
      </c>
      <c r="J17" s="91">
        <v>62100</v>
      </c>
    </row>
    <row r="18" spans="1:10">
      <c r="A18" t="s">
        <v>18</v>
      </c>
      <c r="B18" t="s">
        <v>19</v>
      </c>
      <c r="C18" t="s">
        <v>11</v>
      </c>
      <c r="D18" t="s">
        <v>40</v>
      </c>
      <c r="E18" t="s">
        <v>43</v>
      </c>
      <c r="F18" t="s">
        <v>32</v>
      </c>
      <c r="G18" s="91">
        <v>1</v>
      </c>
      <c r="H18" s="91"/>
      <c r="I18" s="91">
        <v>3000</v>
      </c>
      <c r="J18" s="91">
        <v>3000</v>
      </c>
    </row>
    <row r="19" spans="1:10">
      <c r="A19" t="s">
        <v>18</v>
      </c>
      <c r="B19" t="s">
        <v>19</v>
      </c>
      <c r="C19" t="s">
        <v>20</v>
      </c>
      <c r="D19" t="s">
        <v>44</v>
      </c>
      <c r="E19" t="s">
        <v>45</v>
      </c>
      <c r="F19" t="s">
        <v>46</v>
      </c>
      <c r="G19" s="91">
        <v>50</v>
      </c>
      <c r="H19" s="91"/>
      <c r="I19" s="91">
        <v>2953</v>
      </c>
      <c r="J19" s="91">
        <v>147650</v>
      </c>
    </row>
    <row r="20" spans="1:10">
      <c r="A20" t="s">
        <v>18</v>
      </c>
      <c r="B20" t="s">
        <v>19</v>
      </c>
      <c r="C20" t="s">
        <v>20</v>
      </c>
      <c r="D20" t="s">
        <v>47</v>
      </c>
      <c r="E20" t="s">
        <v>48</v>
      </c>
      <c r="F20" t="s">
        <v>49</v>
      </c>
      <c r="G20" s="91">
        <v>500</v>
      </c>
      <c r="H20" s="91"/>
      <c r="I20" s="91">
        <v>72</v>
      </c>
      <c r="J20" s="91">
        <v>36000</v>
      </c>
    </row>
    <row r="21" spans="1:10">
      <c r="A21" t="s">
        <v>18</v>
      </c>
      <c r="B21" t="s">
        <v>19</v>
      </c>
      <c r="C21" t="s">
        <v>20</v>
      </c>
      <c r="D21" t="s">
        <v>47</v>
      </c>
      <c r="E21" t="s">
        <v>50</v>
      </c>
      <c r="F21" t="s">
        <v>49</v>
      </c>
      <c r="G21" s="91">
        <v>500</v>
      </c>
      <c r="H21" s="91"/>
      <c r="I21" s="91">
        <v>64</v>
      </c>
      <c r="J21" s="91">
        <v>32000</v>
      </c>
    </row>
    <row r="22" spans="1:10">
      <c r="A22" t="s">
        <v>18</v>
      </c>
      <c r="B22" t="s">
        <v>19</v>
      </c>
      <c r="C22" t="s">
        <v>20</v>
      </c>
      <c r="D22" t="s">
        <v>51</v>
      </c>
      <c r="E22" t="s">
        <v>52</v>
      </c>
      <c r="F22" t="s">
        <v>23</v>
      </c>
      <c r="G22" s="91">
        <v>20000</v>
      </c>
      <c r="H22" s="91"/>
      <c r="I22" s="91">
        <v>7</v>
      </c>
      <c r="J22" s="91">
        <v>140000</v>
      </c>
    </row>
    <row r="23" spans="1:10">
      <c r="A23" t="s">
        <v>18</v>
      </c>
      <c r="B23" t="s">
        <v>19</v>
      </c>
      <c r="C23" t="s">
        <v>20</v>
      </c>
      <c r="D23" t="s">
        <v>51</v>
      </c>
      <c r="E23" t="s">
        <v>53</v>
      </c>
      <c r="F23" t="s">
        <v>23</v>
      </c>
      <c r="G23" s="91">
        <v>20000</v>
      </c>
      <c r="H23" s="91"/>
      <c r="I23" s="91">
        <v>8</v>
      </c>
      <c r="J23" s="91">
        <v>160000</v>
      </c>
    </row>
    <row r="24" spans="1:10">
      <c r="A24" t="s">
        <v>18</v>
      </c>
      <c r="B24" t="s">
        <v>19</v>
      </c>
      <c r="C24" t="s">
        <v>20</v>
      </c>
      <c r="D24" t="s">
        <v>51</v>
      </c>
      <c r="E24" t="s">
        <v>54</v>
      </c>
      <c r="F24" t="s">
        <v>23</v>
      </c>
      <c r="G24" s="91">
        <v>20000</v>
      </c>
      <c r="H24" s="91"/>
      <c r="I24" s="91">
        <v>9</v>
      </c>
      <c r="J24" s="91">
        <v>180000</v>
      </c>
    </row>
    <row r="25" spans="1:10">
      <c r="A25" t="s">
        <v>18</v>
      </c>
      <c r="B25" t="s">
        <v>19</v>
      </c>
      <c r="C25" t="s">
        <v>20</v>
      </c>
      <c r="D25" t="s">
        <v>55</v>
      </c>
      <c r="E25" t="s">
        <v>56</v>
      </c>
      <c r="F25" t="s">
        <v>57</v>
      </c>
      <c r="G25" s="91">
        <v>1000</v>
      </c>
      <c r="H25" s="91"/>
      <c r="I25" s="91">
        <v>280</v>
      </c>
      <c r="J25" s="91">
        <v>280000</v>
      </c>
    </row>
    <row r="26" spans="1:10">
      <c r="A26" t="s">
        <v>18</v>
      </c>
      <c r="B26" t="s">
        <v>19</v>
      </c>
      <c r="C26" t="s">
        <v>20</v>
      </c>
      <c r="D26" t="s">
        <v>55</v>
      </c>
      <c r="E26" t="s">
        <v>58</v>
      </c>
      <c r="F26" t="s">
        <v>57</v>
      </c>
      <c r="G26" s="91">
        <v>1000</v>
      </c>
      <c r="H26" s="91"/>
      <c r="I26" s="91">
        <v>304</v>
      </c>
      <c r="J26" s="91">
        <v>304000</v>
      </c>
    </row>
    <row r="27" spans="1:10">
      <c r="A27" t="s">
        <v>18</v>
      </c>
      <c r="B27" t="s">
        <v>19</v>
      </c>
      <c r="C27" t="s">
        <v>20</v>
      </c>
      <c r="D27" t="s">
        <v>59</v>
      </c>
      <c r="E27" t="s">
        <v>60</v>
      </c>
      <c r="F27" t="s">
        <v>49</v>
      </c>
      <c r="G27" s="91">
        <v>500</v>
      </c>
      <c r="H27" s="91"/>
      <c r="I27" s="91">
        <v>17</v>
      </c>
      <c r="J27" s="91">
        <v>8500</v>
      </c>
    </row>
    <row r="28" spans="1:10">
      <c r="A28" t="s">
        <v>18</v>
      </c>
      <c r="B28" t="s">
        <v>19</v>
      </c>
      <c r="C28" t="s">
        <v>20</v>
      </c>
      <c r="D28" t="s">
        <v>61</v>
      </c>
      <c r="E28" t="s">
        <v>62</v>
      </c>
      <c r="F28" t="s">
        <v>63</v>
      </c>
      <c r="G28" s="91">
        <v>100</v>
      </c>
      <c r="H28" s="91"/>
      <c r="I28" s="91">
        <v>190</v>
      </c>
      <c r="J28" s="91">
        <v>19000</v>
      </c>
    </row>
    <row r="29" spans="1:10">
      <c r="A29" t="s">
        <v>18</v>
      </c>
      <c r="B29" t="s">
        <v>19</v>
      </c>
      <c r="C29" t="s">
        <v>20</v>
      </c>
      <c r="D29" t="s">
        <v>61</v>
      </c>
      <c r="E29" t="s">
        <v>64</v>
      </c>
      <c r="F29" t="s">
        <v>23</v>
      </c>
      <c r="G29" s="91">
        <v>5</v>
      </c>
      <c r="H29" s="91"/>
      <c r="I29" s="91">
        <v>3700</v>
      </c>
      <c r="J29" s="91">
        <v>18500</v>
      </c>
    </row>
    <row r="30" spans="1:10">
      <c r="A30" t="s">
        <v>18</v>
      </c>
      <c r="B30" t="s">
        <v>19</v>
      </c>
      <c r="C30" t="s">
        <v>20</v>
      </c>
      <c r="D30" t="s">
        <v>61</v>
      </c>
      <c r="E30" t="s">
        <v>65</v>
      </c>
      <c r="F30" t="s">
        <v>42</v>
      </c>
      <c r="G30" s="91">
        <v>200</v>
      </c>
      <c r="H30" s="91"/>
      <c r="I30" s="91">
        <v>68</v>
      </c>
      <c r="J30" s="91">
        <v>13600</v>
      </c>
    </row>
    <row r="31" spans="1:10">
      <c r="A31" t="s">
        <v>18</v>
      </c>
      <c r="B31" t="s">
        <v>19</v>
      </c>
      <c r="C31" t="s">
        <v>20</v>
      </c>
      <c r="D31" t="s">
        <v>61</v>
      </c>
      <c r="E31" t="s">
        <v>66</v>
      </c>
      <c r="F31" t="s">
        <v>23</v>
      </c>
      <c r="G31" s="91">
        <v>30</v>
      </c>
      <c r="H31" s="91"/>
      <c r="I31" s="91">
        <v>1730</v>
      </c>
      <c r="J31" s="91">
        <v>51900</v>
      </c>
    </row>
    <row r="32" spans="1:10">
      <c r="A32" t="s">
        <v>18</v>
      </c>
      <c r="B32" t="s">
        <v>19</v>
      </c>
      <c r="C32" t="s">
        <v>20</v>
      </c>
      <c r="D32" t="s">
        <v>61</v>
      </c>
      <c r="E32" t="s">
        <v>67</v>
      </c>
      <c r="F32" t="s">
        <v>23</v>
      </c>
      <c r="G32" s="91">
        <v>5</v>
      </c>
      <c r="H32" s="91"/>
      <c r="I32" s="91">
        <v>2592</v>
      </c>
      <c r="J32" s="91">
        <v>12960</v>
      </c>
    </row>
    <row r="33" spans="1:10">
      <c r="A33" t="s">
        <v>18</v>
      </c>
      <c r="B33" t="s">
        <v>19</v>
      </c>
      <c r="C33" t="s">
        <v>20</v>
      </c>
      <c r="D33" t="s">
        <v>61</v>
      </c>
      <c r="E33" t="s">
        <v>68</v>
      </c>
      <c r="F33" t="s">
        <v>23</v>
      </c>
      <c r="G33" s="91">
        <v>20</v>
      </c>
      <c r="H33" s="91"/>
      <c r="I33" s="91">
        <v>110</v>
      </c>
      <c r="J33" s="91">
        <v>2200</v>
      </c>
    </row>
    <row r="34" spans="1:10">
      <c r="A34" t="s">
        <v>18</v>
      </c>
      <c r="B34" t="s">
        <v>19</v>
      </c>
      <c r="C34" t="s">
        <v>20</v>
      </c>
      <c r="D34" t="s">
        <v>61</v>
      </c>
      <c r="E34" t="s">
        <v>69</v>
      </c>
      <c r="F34" t="s">
        <v>23</v>
      </c>
      <c r="G34" s="91">
        <v>20</v>
      </c>
      <c r="H34" s="91"/>
      <c r="I34" s="91">
        <v>260</v>
      </c>
      <c r="J34" s="91">
        <v>5200</v>
      </c>
    </row>
    <row r="35" spans="1:10">
      <c r="A35" t="s">
        <v>18</v>
      </c>
      <c r="B35" t="s">
        <v>19</v>
      </c>
      <c r="C35" t="s">
        <v>20</v>
      </c>
      <c r="D35" t="s">
        <v>61</v>
      </c>
      <c r="E35" t="s">
        <v>70</v>
      </c>
      <c r="F35" t="s">
        <v>23</v>
      </c>
      <c r="G35" s="91">
        <v>10</v>
      </c>
      <c r="H35" s="91"/>
      <c r="I35" s="91">
        <v>90</v>
      </c>
      <c r="J35" s="91">
        <v>900</v>
      </c>
    </row>
    <row r="36" spans="1:10">
      <c r="A36" t="s">
        <v>18</v>
      </c>
      <c r="B36" t="s">
        <v>19</v>
      </c>
      <c r="C36" t="s">
        <v>20</v>
      </c>
      <c r="D36" t="s">
        <v>61</v>
      </c>
      <c r="E36" t="s">
        <v>71</v>
      </c>
      <c r="F36" t="s">
        <v>23</v>
      </c>
      <c r="G36" s="91">
        <v>40</v>
      </c>
      <c r="H36" s="91"/>
      <c r="I36" s="91">
        <v>50</v>
      </c>
      <c r="J36" s="91">
        <v>2000</v>
      </c>
    </row>
    <row r="37" spans="1:10">
      <c r="A37" t="s">
        <v>18</v>
      </c>
      <c r="B37" t="s">
        <v>19</v>
      </c>
      <c r="C37" t="s">
        <v>20</v>
      </c>
      <c r="D37" t="s">
        <v>61</v>
      </c>
      <c r="E37" t="s">
        <v>72</v>
      </c>
      <c r="F37" t="s">
        <v>23</v>
      </c>
      <c r="G37" s="91">
        <v>10</v>
      </c>
      <c r="H37" s="91"/>
      <c r="I37" s="91">
        <v>60</v>
      </c>
      <c r="J37" s="91">
        <v>600</v>
      </c>
    </row>
    <row r="38" spans="1:10">
      <c r="A38" t="s">
        <v>18</v>
      </c>
      <c r="B38" t="s">
        <v>19</v>
      </c>
      <c r="C38" t="s">
        <v>20</v>
      </c>
      <c r="D38" t="s">
        <v>61</v>
      </c>
      <c r="E38" t="s">
        <v>73</v>
      </c>
      <c r="F38" t="s">
        <v>23</v>
      </c>
      <c r="G38" s="91">
        <v>50</v>
      </c>
      <c r="H38" s="91"/>
      <c r="I38" s="91">
        <v>225</v>
      </c>
      <c r="J38" s="91">
        <v>11250</v>
      </c>
    </row>
    <row r="39" spans="1:10">
      <c r="A39" t="s">
        <v>18</v>
      </c>
      <c r="B39" t="s">
        <v>19</v>
      </c>
      <c r="C39" t="s">
        <v>20</v>
      </c>
      <c r="D39" t="s">
        <v>61</v>
      </c>
      <c r="E39" t="s">
        <v>74</v>
      </c>
      <c r="F39" t="s">
        <v>63</v>
      </c>
      <c r="G39" s="91">
        <v>100</v>
      </c>
      <c r="H39" s="91"/>
      <c r="I39" s="91">
        <v>190</v>
      </c>
      <c r="J39" s="91">
        <v>19000</v>
      </c>
    </row>
    <row r="40" spans="1:10">
      <c r="A40" t="s">
        <v>18</v>
      </c>
      <c r="B40" t="s">
        <v>19</v>
      </c>
      <c r="C40" t="s">
        <v>20</v>
      </c>
      <c r="D40" t="s">
        <v>61</v>
      </c>
      <c r="E40" t="s">
        <v>75</v>
      </c>
      <c r="F40" t="s">
        <v>63</v>
      </c>
      <c r="G40" s="91">
        <v>2000</v>
      </c>
      <c r="H40" s="91"/>
      <c r="I40" s="91">
        <v>180</v>
      </c>
      <c r="J40" s="91">
        <v>360000</v>
      </c>
    </row>
    <row r="41" spans="1:10">
      <c r="A41" t="s">
        <v>18</v>
      </c>
      <c r="B41" t="s">
        <v>19</v>
      </c>
      <c r="C41" t="s">
        <v>20</v>
      </c>
      <c r="D41" t="s">
        <v>61</v>
      </c>
      <c r="E41" t="s">
        <v>76</v>
      </c>
      <c r="F41" t="s">
        <v>23</v>
      </c>
      <c r="G41" s="91">
        <v>2200</v>
      </c>
      <c r="H41" s="91"/>
      <c r="I41" s="91">
        <v>1.8</v>
      </c>
      <c r="J41" s="91">
        <v>3960</v>
      </c>
    </row>
    <row r="42" spans="1:10">
      <c r="A42" t="s">
        <v>18</v>
      </c>
      <c r="B42" t="s">
        <v>19</v>
      </c>
      <c r="C42" t="s">
        <v>20</v>
      </c>
      <c r="D42" t="s">
        <v>61</v>
      </c>
      <c r="E42" t="s">
        <v>77</v>
      </c>
      <c r="F42" t="s">
        <v>23</v>
      </c>
      <c r="G42" s="91">
        <v>1000</v>
      </c>
      <c r="H42" s="91"/>
      <c r="I42" s="91">
        <v>2.29</v>
      </c>
      <c r="J42" s="91">
        <v>2290</v>
      </c>
    </row>
    <row r="43" spans="1:10">
      <c r="A43" t="s">
        <v>18</v>
      </c>
      <c r="B43" t="s">
        <v>19</v>
      </c>
      <c r="C43" t="s">
        <v>20</v>
      </c>
      <c r="D43" t="s">
        <v>61</v>
      </c>
      <c r="E43" t="s">
        <v>78</v>
      </c>
      <c r="F43" t="s">
        <v>49</v>
      </c>
      <c r="G43" s="91">
        <v>1000</v>
      </c>
      <c r="H43" s="91"/>
      <c r="I43" s="91">
        <v>95</v>
      </c>
      <c r="J43" s="91">
        <v>95000</v>
      </c>
    </row>
    <row r="44" spans="1:10">
      <c r="A44" t="s">
        <v>18</v>
      </c>
      <c r="B44" t="s">
        <v>19</v>
      </c>
      <c r="C44" t="s">
        <v>20</v>
      </c>
      <c r="D44" t="s">
        <v>61</v>
      </c>
      <c r="E44" t="s">
        <v>79</v>
      </c>
      <c r="F44" t="s">
        <v>63</v>
      </c>
      <c r="G44" s="91">
        <v>2000</v>
      </c>
      <c r="H44" s="91"/>
      <c r="I44" s="91">
        <v>180</v>
      </c>
      <c r="J44" s="91">
        <v>360000</v>
      </c>
    </row>
    <row r="45" spans="1:10">
      <c r="A45" t="s">
        <v>18</v>
      </c>
      <c r="B45" t="s">
        <v>19</v>
      </c>
      <c r="C45" t="s">
        <v>20</v>
      </c>
      <c r="D45" t="s">
        <v>61</v>
      </c>
      <c r="E45" t="s">
        <v>80</v>
      </c>
      <c r="F45" t="s">
        <v>63</v>
      </c>
      <c r="G45" s="91">
        <v>200</v>
      </c>
      <c r="H45" s="91"/>
      <c r="I45" s="91">
        <v>110</v>
      </c>
      <c r="J45" s="91">
        <v>22000</v>
      </c>
    </row>
    <row r="46" spans="1:10">
      <c r="A46" t="s">
        <v>18</v>
      </c>
      <c r="B46" t="s">
        <v>19</v>
      </c>
      <c r="C46" t="s">
        <v>20</v>
      </c>
      <c r="D46" t="s">
        <v>61</v>
      </c>
      <c r="E46" t="s">
        <v>81</v>
      </c>
      <c r="F46" t="s">
        <v>63</v>
      </c>
      <c r="G46" s="91">
        <v>5</v>
      </c>
      <c r="H46" s="91"/>
      <c r="I46" s="91">
        <v>110</v>
      </c>
      <c r="J46" s="91">
        <v>550</v>
      </c>
    </row>
    <row r="47" spans="1:10">
      <c r="A47" t="s">
        <v>18</v>
      </c>
      <c r="B47" t="s">
        <v>19</v>
      </c>
      <c r="C47" t="s">
        <v>20</v>
      </c>
      <c r="D47" t="s">
        <v>61</v>
      </c>
      <c r="E47" t="s">
        <v>82</v>
      </c>
      <c r="F47" t="s">
        <v>23</v>
      </c>
      <c r="G47" s="91">
        <v>10</v>
      </c>
      <c r="H47" s="91"/>
      <c r="I47" s="91">
        <v>3200</v>
      </c>
      <c r="J47" s="91">
        <v>32000</v>
      </c>
    </row>
    <row r="48" spans="1:10">
      <c r="A48" t="s">
        <v>18</v>
      </c>
      <c r="B48" t="s">
        <v>19</v>
      </c>
      <c r="C48" t="s">
        <v>20</v>
      </c>
      <c r="D48" t="s">
        <v>61</v>
      </c>
      <c r="E48" t="s">
        <v>83</v>
      </c>
      <c r="F48" t="s">
        <v>63</v>
      </c>
      <c r="G48" s="91">
        <v>100</v>
      </c>
      <c r="H48" s="91"/>
      <c r="I48" s="91">
        <v>190</v>
      </c>
      <c r="J48" s="91">
        <v>19000</v>
      </c>
    </row>
    <row r="49" spans="1:10">
      <c r="A49" t="s">
        <v>18</v>
      </c>
      <c r="B49" t="s">
        <v>19</v>
      </c>
      <c r="C49" t="s">
        <v>20</v>
      </c>
      <c r="D49" t="s">
        <v>84</v>
      </c>
      <c r="E49" t="s">
        <v>85</v>
      </c>
      <c r="F49" t="s">
        <v>49</v>
      </c>
      <c r="G49" s="91">
        <v>500</v>
      </c>
      <c r="H49" s="91"/>
      <c r="I49" s="91">
        <v>65</v>
      </c>
      <c r="J49" s="91">
        <v>32500</v>
      </c>
    </row>
    <row r="50" spans="1:10">
      <c r="A50" t="s">
        <v>18</v>
      </c>
      <c r="B50" t="s">
        <v>19</v>
      </c>
      <c r="C50" t="s">
        <v>20</v>
      </c>
      <c r="D50" t="s">
        <v>84</v>
      </c>
      <c r="E50" t="s">
        <v>86</v>
      </c>
      <c r="F50" t="s">
        <v>49</v>
      </c>
      <c r="G50" s="91">
        <v>500</v>
      </c>
      <c r="H50" s="91"/>
      <c r="I50" s="91">
        <v>65</v>
      </c>
      <c r="J50" s="91">
        <v>32500</v>
      </c>
    </row>
    <row r="51" spans="1:10">
      <c r="A51" t="s">
        <v>18</v>
      </c>
      <c r="B51" t="s">
        <v>19</v>
      </c>
      <c r="C51" t="s">
        <v>20</v>
      </c>
      <c r="D51" t="s">
        <v>84</v>
      </c>
      <c r="E51" t="s">
        <v>87</v>
      </c>
      <c r="F51" t="s">
        <v>49</v>
      </c>
      <c r="G51" s="91">
        <v>500</v>
      </c>
      <c r="H51" s="91"/>
      <c r="I51" s="91">
        <v>65</v>
      </c>
      <c r="J51" s="91">
        <v>32500</v>
      </c>
    </row>
    <row r="52" spans="1:10">
      <c r="A52" t="s">
        <v>18</v>
      </c>
      <c r="B52" t="s">
        <v>19</v>
      </c>
      <c r="C52" t="s">
        <v>20</v>
      </c>
      <c r="D52" t="s">
        <v>84</v>
      </c>
      <c r="E52" t="s">
        <v>88</v>
      </c>
      <c r="F52" t="s">
        <v>49</v>
      </c>
      <c r="G52" s="91">
        <v>500</v>
      </c>
      <c r="H52" s="91"/>
      <c r="I52" s="91">
        <v>65</v>
      </c>
      <c r="J52" s="91">
        <v>32500</v>
      </c>
    </row>
    <row r="53" spans="1:10">
      <c r="A53" t="s">
        <v>18</v>
      </c>
      <c r="B53" t="s">
        <v>19</v>
      </c>
      <c r="C53" t="s">
        <v>20</v>
      </c>
      <c r="D53" t="s">
        <v>84</v>
      </c>
      <c r="E53" t="s">
        <v>89</v>
      </c>
      <c r="F53" t="s">
        <v>49</v>
      </c>
      <c r="G53" s="91">
        <v>500</v>
      </c>
      <c r="H53" s="91"/>
      <c r="I53" s="91">
        <v>65</v>
      </c>
      <c r="J53" s="91">
        <v>32500</v>
      </c>
    </row>
    <row r="54" spans="1:10">
      <c r="A54" t="s">
        <v>18</v>
      </c>
      <c r="B54" t="s">
        <v>19</v>
      </c>
      <c r="C54" t="s">
        <v>20</v>
      </c>
      <c r="D54" t="s">
        <v>84</v>
      </c>
      <c r="E54" t="s">
        <v>90</v>
      </c>
      <c r="F54" t="s">
        <v>63</v>
      </c>
      <c r="G54" s="91">
        <v>1000</v>
      </c>
      <c r="H54" s="91"/>
      <c r="I54" s="91">
        <v>95</v>
      </c>
      <c r="J54" s="91">
        <v>95000</v>
      </c>
    </row>
    <row r="55" spans="1:10">
      <c r="A55" t="s">
        <v>18</v>
      </c>
      <c r="B55" t="s">
        <v>19</v>
      </c>
      <c r="C55" t="s">
        <v>20</v>
      </c>
      <c r="D55" t="s">
        <v>91</v>
      </c>
      <c r="E55" t="s">
        <v>92</v>
      </c>
      <c r="F55" t="s">
        <v>23</v>
      </c>
      <c r="G55" s="91">
        <v>250</v>
      </c>
      <c r="H55" s="91"/>
      <c r="I55" s="91">
        <v>1150</v>
      </c>
      <c r="J55" s="91">
        <v>287500</v>
      </c>
    </row>
    <row r="56" spans="1:10">
      <c r="A56" t="s">
        <v>18</v>
      </c>
      <c r="B56" t="s">
        <v>19</v>
      </c>
      <c r="C56" t="s">
        <v>20</v>
      </c>
      <c r="D56" t="s">
        <v>91</v>
      </c>
      <c r="E56" t="s">
        <v>93</v>
      </c>
      <c r="F56" t="s">
        <v>23</v>
      </c>
      <c r="G56" s="91">
        <v>100</v>
      </c>
      <c r="H56" s="91"/>
      <c r="I56" s="91">
        <v>1250</v>
      </c>
      <c r="J56" s="91">
        <v>125000</v>
      </c>
    </row>
    <row r="57" spans="1:10">
      <c r="A57" t="s">
        <v>18</v>
      </c>
      <c r="B57" t="s">
        <v>19</v>
      </c>
      <c r="C57" t="s">
        <v>20</v>
      </c>
      <c r="D57" t="s">
        <v>91</v>
      </c>
      <c r="E57" t="s">
        <v>94</v>
      </c>
      <c r="F57" t="s">
        <v>23</v>
      </c>
      <c r="G57" s="91">
        <v>850</v>
      </c>
      <c r="H57" s="91"/>
      <c r="I57" s="91">
        <v>1260</v>
      </c>
      <c r="J57" s="91">
        <v>1071000</v>
      </c>
    </row>
    <row r="58" spans="1:10">
      <c r="A58" t="s">
        <v>18</v>
      </c>
      <c r="B58" t="s">
        <v>19</v>
      </c>
      <c r="C58" t="s">
        <v>20</v>
      </c>
      <c r="D58" t="s">
        <v>91</v>
      </c>
      <c r="E58" t="s">
        <v>95</v>
      </c>
      <c r="F58" t="s">
        <v>23</v>
      </c>
      <c r="G58" s="91">
        <v>1240</v>
      </c>
      <c r="H58" s="91"/>
      <c r="I58" s="91">
        <v>1720</v>
      </c>
      <c r="J58" s="91">
        <v>2132800</v>
      </c>
    </row>
    <row r="59" spans="1:10">
      <c r="A59" t="s">
        <v>18</v>
      </c>
      <c r="B59" t="s">
        <v>19</v>
      </c>
      <c r="C59" t="s">
        <v>20</v>
      </c>
      <c r="D59" t="s">
        <v>91</v>
      </c>
      <c r="E59" t="s">
        <v>96</v>
      </c>
      <c r="F59" t="s">
        <v>23</v>
      </c>
      <c r="G59" s="91">
        <v>35</v>
      </c>
      <c r="H59" s="91"/>
      <c r="I59" s="91">
        <v>125</v>
      </c>
      <c r="J59" s="91">
        <v>4375</v>
      </c>
    </row>
    <row r="60" spans="1:10">
      <c r="A60" t="s">
        <v>18</v>
      </c>
      <c r="B60" t="s">
        <v>19</v>
      </c>
      <c r="C60" t="s">
        <v>20</v>
      </c>
      <c r="D60" t="s">
        <v>91</v>
      </c>
      <c r="E60" t="s">
        <v>97</v>
      </c>
      <c r="F60" t="s">
        <v>23</v>
      </c>
      <c r="G60" s="91">
        <v>60</v>
      </c>
      <c r="H60" s="91"/>
      <c r="I60" s="91">
        <v>10</v>
      </c>
      <c r="J60" s="91">
        <v>600</v>
      </c>
    </row>
    <row r="61" spans="1:10">
      <c r="A61" t="s">
        <v>18</v>
      </c>
      <c r="B61" t="s">
        <v>19</v>
      </c>
      <c r="C61" t="s">
        <v>20</v>
      </c>
      <c r="D61" t="s">
        <v>98</v>
      </c>
      <c r="E61" t="s">
        <v>99</v>
      </c>
      <c r="F61" t="s">
        <v>100</v>
      </c>
      <c r="G61" s="91">
        <v>50</v>
      </c>
      <c r="H61" s="91"/>
      <c r="I61" s="91">
        <v>45</v>
      </c>
      <c r="J61" s="91">
        <v>2250</v>
      </c>
    </row>
    <row r="62" spans="1:10">
      <c r="A62" t="s">
        <v>18</v>
      </c>
      <c r="B62" t="s">
        <v>19</v>
      </c>
      <c r="C62" t="s">
        <v>20</v>
      </c>
      <c r="D62" t="s">
        <v>98</v>
      </c>
      <c r="E62" t="s">
        <v>101</v>
      </c>
      <c r="F62" t="s">
        <v>100</v>
      </c>
      <c r="G62" s="91">
        <v>12000</v>
      </c>
      <c r="H62" s="91"/>
      <c r="I62" s="91">
        <v>24</v>
      </c>
      <c r="J62" s="91">
        <v>288000</v>
      </c>
    </row>
    <row r="63" spans="1:10">
      <c r="A63" t="s">
        <v>18</v>
      </c>
      <c r="B63" t="s">
        <v>19</v>
      </c>
      <c r="C63" t="s">
        <v>20</v>
      </c>
      <c r="D63" t="s">
        <v>102</v>
      </c>
      <c r="E63" t="s">
        <v>103</v>
      </c>
      <c r="F63" t="s">
        <v>46</v>
      </c>
      <c r="G63" s="91">
        <v>200</v>
      </c>
      <c r="H63" s="91"/>
      <c r="I63" s="91">
        <v>500</v>
      </c>
      <c r="J63" s="91">
        <v>100000</v>
      </c>
    </row>
    <row r="64" spans="1:10">
      <c r="A64" t="s">
        <v>18</v>
      </c>
      <c r="B64" t="s">
        <v>19</v>
      </c>
      <c r="C64" t="s">
        <v>20</v>
      </c>
      <c r="D64" t="s">
        <v>104</v>
      </c>
      <c r="E64" t="s">
        <v>105</v>
      </c>
      <c r="F64" t="s">
        <v>49</v>
      </c>
      <c r="G64" s="91">
        <v>200</v>
      </c>
      <c r="H64" s="91"/>
      <c r="I64" s="91">
        <v>60</v>
      </c>
      <c r="J64" s="91">
        <v>12000</v>
      </c>
    </row>
    <row r="65" spans="1:10">
      <c r="A65" t="s">
        <v>18</v>
      </c>
      <c r="B65" t="s">
        <v>19</v>
      </c>
      <c r="C65" t="s">
        <v>20</v>
      </c>
      <c r="D65" t="s">
        <v>106</v>
      </c>
      <c r="E65" t="s">
        <v>107</v>
      </c>
      <c r="F65" t="s">
        <v>108</v>
      </c>
      <c r="G65" s="91">
        <v>350</v>
      </c>
      <c r="H65" s="91"/>
      <c r="I65" s="91">
        <v>4220</v>
      </c>
      <c r="J65" s="91">
        <v>1477000</v>
      </c>
    </row>
    <row r="66" spans="1:10">
      <c r="A66" t="s">
        <v>18</v>
      </c>
      <c r="B66" t="s">
        <v>19</v>
      </c>
      <c r="C66" t="s">
        <v>20</v>
      </c>
      <c r="D66" t="s">
        <v>106</v>
      </c>
      <c r="E66" t="s">
        <v>109</v>
      </c>
      <c r="F66" t="s">
        <v>108</v>
      </c>
      <c r="G66" s="91">
        <v>100</v>
      </c>
      <c r="H66" s="91"/>
      <c r="I66" s="91">
        <v>4500</v>
      </c>
      <c r="J66" s="91">
        <v>450000</v>
      </c>
    </row>
    <row r="67" spans="1:10">
      <c r="A67" t="s">
        <v>18</v>
      </c>
      <c r="B67" t="s">
        <v>19</v>
      </c>
      <c r="C67" t="s">
        <v>20</v>
      </c>
      <c r="D67" t="s">
        <v>106</v>
      </c>
      <c r="E67" t="s">
        <v>110</v>
      </c>
      <c r="F67" t="s">
        <v>108</v>
      </c>
      <c r="G67" s="91">
        <v>100</v>
      </c>
      <c r="H67" s="91"/>
      <c r="I67" s="91">
        <v>4800</v>
      </c>
      <c r="J67" s="91">
        <v>480000</v>
      </c>
    </row>
    <row r="68" spans="1:10">
      <c r="A68" t="s">
        <v>18</v>
      </c>
      <c r="B68" t="s">
        <v>19</v>
      </c>
      <c r="C68" t="s">
        <v>20</v>
      </c>
      <c r="D68" t="s">
        <v>106</v>
      </c>
      <c r="E68" t="s">
        <v>111</v>
      </c>
      <c r="F68" t="s">
        <v>108</v>
      </c>
      <c r="G68" s="91">
        <v>250</v>
      </c>
      <c r="H68" s="91"/>
      <c r="I68" s="91">
        <v>4100</v>
      </c>
      <c r="J68" s="91">
        <v>1025000</v>
      </c>
    </row>
    <row r="69" spans="1:10">
      <c r="A69" t="s">
        <v>18</v>
      </c>
      <c r="B69" t="s">
        <v>19</v>
      </c>
      <c r="C69" t="s">
        <v>20</v>
      </c>
      <c r="D69" t="s">
        <v>112</v>
      </c>
      <c r="E69" t="s">
        <v>113</v>
      </c>
      <c r="F69" t="s">
        <v>46</v>
      </c>
      <c r="G69" s="91">
        <v>50</v>
      </c>
      <c r="H69" s="91"/>
      <c r="I69" s="91">
        <v>3253</v>
      </c>
      <c r="J69" s="91">
        <v>162650</v>
      </c>
    </row>
    <row r="70" spans="1:10">
      <c r="A70" t="s">
        <v>18</v>
      </c>
      <c r="B70" t="s">
        <v>19</v>
      </c>
      <c r="C70" t="s">
        <v>20</v>
      </c>
      <c r="D70" t="s">
        <v>114</v>
      </c>
      <c r="E70" t="s">
        <v>115</v>
      </c>
      <c r="F70" t="s">
        <v>100</v>
      </c>
      <c r="G70" s="91">
        <v>700</v>
      </c>
      <c r="H70" s="91"/>
      <c r="I70" s="91">
        <v>15</v>
      </c>
      <c r="J70" s="91">
        <v>10500</v>
      </c>
    </row>
    <row r="71" spans="1:10">
      <c r="A71" t="s">
        <v>18</v>
      </c>
      <c r="B71" t="s">
        <v>19</v>
      </c>
      <c r="C71" t="s">
        <v>20</v>
      </c>
      <c r="D71" t="s">
        <v>114</v>
      </c>
      <c r="E71" t="s">
        <v>116</v>
      </c>
      <c r="F71" t="s">
        <v>49</v>
      </c>
      <c r="G71" s="91">
        <v>3045</v>
      </c>
      <c r="H71" s="91"/>
      <c r="I71" s="91">
        <v>60</v>
      </c>
      <c r="J71" s="91">
        <v>182700</v>
      </c>
    </row>
    <row r="72" spans="1:10">
      <c r="A72" t="s">
        <v>18</v>
      </c>
      <c r="B72" t="s">
        <v>19</v>
      </c>
      <c r="C72" t="s">
        <v>20</v>
      </c>
      <c r="D72" t="s">
        <v>114</v>
      </c>
      <c r="E72" t="s">
        <v>117</v>
      </c>
      <c r="F72" t="s">
        <v>49</v>
      </c>
      <c r="G72" s="91">
        <v>20000</v>
      </c>
      <c r="H72" s="91"/>
      <c r="I72" s="91">
        <v>51</v>
      </c>
      <c r="J72" s="91">
        <v>1020000</v>
      </c>
    </row>
    <row r="73" spans="1:10">
      <c r="A73" t="s">
        <v>18</v>
      </c>
      <c r="B73" t="s">
        <v>19</v>
      </c>
      <c r="C73" t="s">
        <v>20</v>
      </c>
      <c r="D73" t="s">
        <v>114</v>
      </c>
      <c r="E73" t="s">
        <v>118</v>
      </c>
      <c r="F73" t="s">
        <v>49</v>
      </c>
      <c r="G73" s="91">
        <v>122.4</v>
      </c>
      <c r="H73" s="91"/>
      <c r="I73" s="91">
        <v>51</v>
      </c>
      <c r="J73" s="91">
        <v>6242.4</v>
      </c>
    </row>
    <row r="74" spans="1:10">
      <c r="A74" t="s">
        <v>18</v>
      </c>
      <c r="B74" t="s">
        <v>19</v>
      </c>
      <c r="C74" t="s">
        <v>20</v>
      </c>
      <c r="D74" t="s">
        <v>114</v>
      </c>
      <c r="E74" t="s">
        <v>119</v>
      </c>
      <c r="F74" t="s">
        <v>49</v>
      </c>
      <c r="G74" s="91">
        <v>10000</v>
      </c>
      <c r="H74" s="91"/>
      <c r="I74" s="91">
        <v>51</v>
      </c>
      <c r="J74" s="91">
        <v>510000</v>
      </c>
    </row>
    <row r="75" spans="1:10">
      <c r="A75" t="s">
        <v>18</v>
      </c>
      <c r="B75" t="s">
        <v>19</v>
      </c>
      <c r="C75" t="s">
        <v>20</v>
      </c>
      <c r="D75" t="s">
        <v>114</v>
      </c>
      <c r="E75" t="s">
        <v>120</v>
      </c>
      <c r="F75" t="s">
        <v>49</v>
      </c>
      <c r="G75" s="91">
        <v>5352</v>
      </c>
      <c r="H75" s="91"/>
      <c r="I75" s="91">
        <v>51</v>
      </c>
      <c r="J75" s="91">
        <v>272952</v>
      </c>
    </row>
    <row r="76" spans="1:10">
      <c r="A76" t="s">
        <v>18</v>
      </c>
      <c r="B76" t="s">
        <v>19</v>
      </c>
      <c r="C76" t="s">
        <v>20</v>
      </c>
      <c r="D76" t="s">
        <v>114</v>
      </c>
      <c r="E76" t="s">
        <v>121</v>
      </c>
      <c r="F76" t="s">
        <v>49</v>
      </c>
      <c r="G76" s="91">
        <v>7000</v>
      </c>
      <c r="H76" s="91"/>
      <c r="I76" s="91">
        <v>51</v>
      </c>
      <c r="J76" s="91">
        <v>357000</v>
      </c>
    </row>
    <row r="77" spans="1:10">
      <c r="A77" t="s">
        <v>18</v>
      </c>
      <c r="B77" t="s">
        <v>19</v>
      </c>
      <c r="C77" t="s">
        <v>20</v>
      </c>
      <c r="D77" t="s">
        <v>114</v>
      </c>
      <c r="E77" t="s">
        <v>122</v>
      </c>
      <c r="F77" t="s">
        <v>49</v>
      </c>
      <c r="G77" s="91">
        <v>15000</v>
      </c>
      <c r="H77" s="91"/>
      <c r="I77" s="91">
        <v>70</v>
      </c>
      <c r="J77" s="91">
        <v>1050000</v>
      </c>
    </row>
    <row r="78" spans="1:10">
      <c r="A78" t="s">
        <v>18</v>
      </c>
      <c r="B78" t="s">
        <v>19</v>
      </c>
      <c r="C78" t="s">
        <v>20</v>
      </c>
      <c r="D78" t="s">
        <v>114</v>
      </c>
      <c r="E78" t="s">
        <v>123</v>
      </c>
      <c r="F78" t="s">
        <v>23</v>
      </c>
      <c r="G78" s="91">
        <v>528</v>
      </c>
      <c r="H78" s="91"/>
      <c r="I78" s="91">
        <v>22</v>
      </c>
      <c r="J78" s="91">
        <v>11616</v>
      </c>
    </row>
    <row r="79" spans="1:10">
      <c r="A79" t="s">
        <v>18</v>
      </c>
      <c r="B79" t="s">
        <v>19</v>
      </c>
      <c r="C79" t="s">
        <v>20</v>
      </c>
      <c r="D79" t="s">
        <v>114</v>
      </c>
      <c r="E79" t="s">
        <v>124</v>
      </c>
      <c r="F79" t="s">
        <v>49</v>
      </c>
      <c r="G79" s="91">
        <v>10000</v>
      </c>
      <c r="H79" s="91"/>
      <c r="I79" s="91">
        <v>60</v>
      </c>
      <c r="J79" s="91">
        <v>600000</v>
      </c>
    </row>
    <row r="80" spans="1:10">
      <c r="A80" t="s">
        <v>18</v>
      </c>
      <c r="B80" t="s">
        <v>19</v>
      </c>
      <c r="C80" t="s">
        <v>20</v>
      </c>
      <c r="D80" t="s">
        <v>114</v>
      </c>
      <c r="E80" t="s">
        <v>125</v>
      </c>
      <c r="F80" t="s">
        <v>49</v>
      </c>
      <c r="G80" s="91">
        <v>3100</v>
      </c>
      <c r="H80" s="91"/>
      <c r="I80" s="91">
        <v>60</v>
      </c>
      <c r="J80" s="91">
        <v>186000</v>
      </c>
    </row>
    <row r="81" spans="1:10">
      <c r="A81" t="s">
        <v>18</v>
      </c>
      <c r="B81" t="s">
        <v>19</v>
      </c>
      <c r="C81" t="s">
        <v>20</v>
      </c>
      <c r="D81" t="s">
        <v>114</v>
      </c>
      <c r="E81" t="s">
        <v>126</v>
      </c>
      <c r="F81" t="s">
        <v>49</v>
      </c>
      <c r="G81" s="91">
        <v>30000</v>
      </c>
      <c r="H81" s="91"/>
      <c r="I81" s="91">
        <v>60</v>
      </c>
      <c r="J81" s="91">
        <v>1800000</v>
      </c>
    </row>
    <row r="82" spans="1:10">
      <c r="A82" t="s">
        <v>18</v>
      </c>
      <c r="B82" t="s">
        <v>19</v>
      </c>
      <c r="C82" t="s">
        <v>20</v>
      </c>
      <c r="D82" t="s">
        <v>114</v>
      </c>
      <c r="E82" t="s">
        <v>127</v>
      </c>
      <c r="F82" t="s">
        <v>49</v>
      </c>
      <c r="G82" s="91">
        <v>2000</v>
      </c>
      <c r="H82" s="91"/>
      <c r="I82" s="91">
        <v>58.7</v>
      </c>
      <c r="J82" s="91">
        <v>117400</v>
      </c>
    </row>
    <row r="83" spans="1:10">
      <c r="A83" t="s">
        <v>18</v>
      </c>
      <c r="B83" t="s">
        <v>19</v>
      </c>
      <c r="C83" t="s">
        <v>20</v>
      </c>
      <c r="D83" t="s">
        <v>114</v>
      </c>
      <c r="E83" t="s">
        <v>128</v>
      </c>
      <c r="F83" t="s">
        <v>49</v>
      </c>
      <c r="G83" s="91">
        <v>6500</v>
      </c>
      <c r="H83" s="91"/>
      <c r="I83" s="91">
        <v>60</v>
      </c>
      <c r="J83" s="91">
        <v>390000</v>
      </c>
    </row>
    <row r="84" spans="1:10">
      <c r="A84" t="s">
        <v>18</v>
      </c>
      <c r="B84" t="s">
        <v>19</v>
      </c>
      <c r="C84" t="s">
        <v>11</v>
      </c>
      <c r="D84" t="s">
        <v>129</v>
      </c>
      <c r="E84" t="s">
        <v>130</v>
      </c>
      <c r="F84" t="s">
        <v>34</v>
      </c>
      <c r="G84" s="91">
        <v>4385</v>
      </c>
      <c r="H84" s="91"/>
      <c r="I84" s="91">
        <v>53.82</v>
      </c>
      <c r="J84" s="91">
        <v>236000.7</v>
      </c>
    </row>
    <row r="85" spans="1:10">
      <c r="A85" t="s">
        <v>18</v>
      </c>
      <c r="B85" t="s">
        <v>19</v>
      </c>
      <c r="C85" t="s">
        <v>11</v>
      </c>
      <c r="D85" t="s">
        <v>131</v>
      </c>
      <c r="E85" t="s">
        <v>132</v>
      </c>
      <c r="F85" t="s">
        <v>17</v>
      </c>
      <c r="G85" s="91">
        <v>90</v>
      </c>
      <c r="H85" s="91"/>
      <c r="I85" s="91">
        <v>18000</v>
      </c>
      <c r="J85" s="91">
        <v>1620000</v>
      </c>
    </row>
    <row r="86" spans="1:10">
      <c r="A86" t="s">
        <v>18</v>
      </c>
      <c r="B86" t="s">
        <v>19</v>
      </c>
      <c r="C86" t="s">
        <v>20</v>
      </c>
      <c r="D86" t="s">
        <v>133</v>
      </c>
      <c r="E86" t="s">
        <v>134</v>
      </c>
      <c r="F86" t="s">
        <v>63</v>
      </c>
      <c r="G86" s="91">
        <v>50000</v>
      </c>
      <c r="H86" s="91"/>
      <c r="I86" s="91">
        <v>5</v>
      </c>
      <c r="J86" s="91">
        <v>250000</v>
      </c>
    </row>
    <row r="87" spans="1:10">
      <c r="A87" t="s">
        <v>18</v>
      </c>
      <c r="B87" t="s">
        <v>19</v>
      </c>
      <c r="C87" t="s">
        <v>11</v>
      </c>
      <c r="D87" t="s">
        <v>135</v>
      </c>
      <c r="E87" t="s">
        <v>136</v>
      </c>
      <c r="F87" t="s">
        <v>34</v>
      </c>
      <c r="G87" s="91">
        <v>66.89</v>
      </c>
      <c r="H87" s="91"/>
      <c r="I87" s="91">
        <v>3121.55000747496</v>
      </c>
      <c r="J87" s="91">
        <v>208800.48</v>
      </c>
    </row>
    <row r="88" spans="1:10">
      <c r="A88" t="s">
        <v>137</v>
      </c>
      <c r="B88" t="s">
        <v>138</v>
      </c>
      <c r="C88" t="s">
        <v>20</v>
      </c>
      <c r="D88" t="s">
        <v>21</v>
      </c>
      <c r="E88" t="s">
        <v>139</v>
      </c>
      <c r="F88" t="s">
        <v>23</v>
      </c>
      <c r="G88" s="91">
        <v>15</v>
      </c>
      <c r="H88" s="91"/>
      <c r="I88" s="91">
        <v>1250</v>
      </c>
      <c r="J88" s="91">
        <v>18750</v>
      </c>
    </row>
    <row r="89" spans="1:10">
      <c r="A89" t="s">
        <v>137</v>
      </c>
      <c r="B89" t="s">
        <v>138</v>
      </c>
      <c r="C89" t="s">
        <v>20</v>
      </c>
      <c r="D89" t="s">
        <v>21</v>
      </c>
      <c r="E89" t="s">
        <v>140</v>
      </c>
      <c r="F89" t="s">
        <v>23</v>
      </c>
      <c r="G89" s="91">
        <v>3</v>
      </c>
      <c r="H89" s="91"/>
      <c r="I89" s="91">
        <v>97700</v>
      </c>
      <c r="J89" s="91">
        <v>293100</v>
      </c>
    </row>
    <row r="90" spans="1:10">
      <c r="A90" t="s">
        <v>137</v>
      </c>
      <c r="B90" t="s">
        <v>138</v>
      </c>
      <c r="C90" t="s">
        <v>11</v>
      </c>
      <c r="D90" t="s">
        <v>12</v>
      </c>
      <c r="E90" t="s">
        <v>13</v>
      </c>
      <c r="F90" t="s">
        <v>14</v>
      </c>
      <c r="G90" s="91">
        <v>2000</v>
      </c>
      <c r="H90" s="91"/>
      <c r="I90" s="91">
        <v>440</v>
      </c>
      <c r="J90" s="91">
        <v>880000</v>
      </c>
    </row>
    <row r="91" spans="1:10">
      <c r="A91" t="s">
        <v>137</v>
      </c>
      <c r="B91" t="s">
        <v>138</v>
      </c>
      <c r="C91" t="s">
        <v>20</v>
      </c>
      <c r="D91" t="s">
        <v>61</v>
      </c>
      <c r="E91" t="s">
        <v>71</v>
      </c>
      <c r="F91" t="s">
        <v>23</v>
      </c>
      <c r="G91" s="91">
        <v>50</v>
      </c>
      <c r="H91" s="91"/>
      <c r="I91" s="91">
        <v>85</v>
      </c>
      <c r="J91" s="91">
        <v>4250</v>
      </c>
    </row>
    <row r="92" spans="1:10">
      <c r="A92" t="s">
        <v>137</v>
      </c>
      <c r="B92" t="s">
        <v>138</v>
      </c>
      <c r="C92" t="s">
        <v>20</v>
      </c>
      <c r="D92" t="s">
        <v>61</v>
      </c>
      <c r="E92" t="s">
        <v>141</v>
      </c>
      <c r="F92" t="s">
        <v>23</v>
      </c>
      <c r="G92" s="91">
        <v>5</v>
      </c>
      <c r="H92" s="91"/>
      <c r="I92" s="91">
        <v>280</v>
      </c>
      <c r="J92" s="91">
        <v>1400</v>
      </c>
    </row>
    <row r="93" spans="1:10">
      <c r="A93" t="s">
        <v>137</v>
      </c>
      <c r="B93" t="s">
        <v>138</v>
      </c>
      <c r="C93" t="s">
        <v>20</v>
      </c>
      <c r="D93" t="s">
        <v>61</v>
      </c>
      <c r="E93" t="s">
        <v>142</v>
      </c>
      <c r="F93" t="s">
        <v>23</v>
      </c>
      <c r="G93" s="91">
        <v>5</v>
      </c>
      <c r="H93" s="91"/>
      <c r="I93" s="91">
        <v>250</v>
      </c>
      <c r="J93" s="91">
        <v>1250</v>
      </c>
    </row>
    <row r="94" spans="1:10">
      <c r="A94" t="s">
        <v>137</v>
      </c>
      <c r="B94" t="s">
        <v>138</v>
      </c>
      <c r="C94" t="s">
        <v>20</v>
      </c>
      <c r="D94" t="s">
        <v>61</v>
      </c>
      <c r="E94" t="s">
        <v>143</v>
      </c>
      <c r="F94" t="s">
        <v>144</v>
      </c>
      <c r="G94" s="91">
        <v>5</v>
      </c>
      <c r="H94" s="91"/>
      <c r="I94" s="91">
        <v>1000</v>
      </c>
      <c r="J94" s="91">
        <v>5000</v>
      </c>
    </row>
    <row r="95" spans="1:10">
      <c r="A95" t="s">
        <v>137</v>
      </c>
      <c r="B95" t="s">
        <v>138</v>
      </c>
      <c r="C95" t="s">
        <v>20</v>
      </c>
      <c r="D95" t="s">
        <v>61</v>
      </c>
      <c r="E95" t="s">
        <v>145</v>
      </c>
      <c r="F95" t="s">
        <v>23</v>
      </c>
      <c r="G95" s="91">
        <v>5</v>
      </c>
      <c r="H95" s="91"/>
      <c r="I95" s="91">
        <v>700</v>
      </c>
      <c r="J95" s="91">
        <v>3500</v>
      </c>
    </row>
    <row r="96" spans="1:10">
      <c r="A96" t="s">
        <v>137</v>
      </c>
      <c r="B96" t="s">
        <v>138</v>
      </c>
      <c r="C96" t="s">
        <v>20</v>
      </c>
      <c r="D96" t="s">
        <v>61</v>
      </c>
      <c r="E96" t="s">
        <v>146</v>
      </c>
      <c r="F96" t="s">
        <v>23</v>
      </c>
      <c r="G96" s="91">
        <v>5</v>
      </c>
      <c r="H96" s="91"/>
      <c r="I96" s="91">
        <v>700</v>
      </c>
      <c r="J96" s="91">
        <v>3500</v>
      </c>
    </row>
    <row r="97" spans="1:10">
      <c r="A97" t="s">
        <v>137</v>
      </c>
      <c r="B97" t="s">
        <v>138</v>
      </c>
      <c r="C97" t="s">
        <v>20</v>
      </c>
      <c r="D97" t="s">
        <v>147</v>
      </c>
      <c r="E97" t="s">
        <v>148</v>
      </c>
      <c r="F97" t="s">
        <v>23</v>
      </c>
      <c r="G97" s="91">
        <v>1</v>
      </c>
      <c r="H97" s="91"/>
      <c r="I97" s="91">
        <v>5980</v>
      </c>
      <c r="J97" s="91">
        <v>5980</v>
      </c>
    </row>
    <row r="98" spans="1:10">
      <c r="A98" t="s">
        <v>137</v>
      </c>
      <c r="B98" t="s">
        <v>138</v>
      </c>
      <c r="C98" t="s">
        <v>20</v>
      </c>
      <c r="D98" t="s">
        <v>147</v>
      </c>
      <c r="E98" t="s">
        <v>149</v>
      </c>
      <c r="F98" t="s">
        <v>42</v>
      </c>
      <c r="G98" s="91">
        <v>1200</v>
      </c>
      <c r="H98" s="91"/>
      <c r="I98" s="91">
        <v>30</v>
      </c>
      <c r="J98" s="91">
        <v>36000</v>
      </c>
    </row>
    <row r="99" spans="1:10">
      <c r="A99" t="s">
        <v>137</v>
      </c>
      <c r="B99" t="s">
        <v>138</v>
      </c>
      <c r="C99" t="s">
        <v>20</v>
      </c>
      <c r="D99" t="s">
        <v>147</v>
      </c>
      <c r="E99" t="s">
        <v>150</v>
      </c>
      <c r="F99" t="s">
        <v>23</v>
      </c>
      <c r="G99" s="91">
        <v>10</v>
      </c>
      <c r="H99" s="91"/>
      <c r="I99" s="91">
        <v>1160</v>
      </c>
      <c r="J99" s="91">
        <v>11600</v>
      </c>
    </row>
    <row r="100" spans="1:10">
      <c r="A100" t="s">
        <v>137</v>
      </c>
      <c r="B100" t="s">
        <v>138</v>
      </c>
      <c r="C100" t="s">
        <v>20</v>
      </c>
      <c r="D100" t="s">
        <v>147</v>
      </c>
      <c r="E100" t="s">
        <v>151</v>
      </c>
      <c r="F100" t="s">
        <v>42</v>
      </c>
      <c r="G100" s="91">
        <v>700</v>
      </c>
      <c r="H100" s="91"/>
      <c r="I100" s="91">
        <v>400</v>
      </c>
      <c r="J100" s="91">
        <v>280000</v>
      </c>
    </row>
    <row r="101" spans="1:10">
      <c r="A101" t="s">
        <v>137</v>
      </c>
      <c r="B101" t="s">
        <v>138</v>
      </c>
      <c r="C101" t="s">
        <v>20</v>
      </c>
      <c r="D101" t="s">
        <v>147</v>
      </c>
      <c r="E101" t="s">
        <v>152</v>
      </c>
      <c r="F101" t="s">
        <v>23</v>
      </c>
      <c r="G101" s="91">
        <v>20</v>
      </c>
      <c r="H101" s="91"/>
      <c r="I101" s="91">
        <v>169</v>
      </c>
      <c r="J101" s="91">
        <v>3380</v>
      </c>
    </row>
    <row r="102" spans="1:10">
      <c r="A102" t="s">
        <v>137</v>
      </c>
      <c r="B102" t="s">
        <v>138</v>
      </c>
      <c r="C102" t="s">
        <v>20</v>
      </c>
      <c r="D102" t="s">
        <v>147</v>
      </c>
      <c r="E102" t="s">
        <v>153</v>
      </c>
      <c r="F102" t="s">
        <v>23</v>
      </c>
      <c r="G102" s="91">
        <v>50</v>
      </c>
      <c r="H102" s="91"/>
      <c r="I102" s="91">
        <v>10.58</v>
      </c>
      <c r="J102" s="91">
        <v>529</v>
      </c>
    </row>
    <row r="103" spans="1:10">
      <c r="A103" t="s">
        <v>137</v>
      </c>
      <c r="B103" t="s">
        <v>138</v>
      </c>
      <c r="C103" t="s">
        <v>20</v>
      </c>
      <c r="D103" t="s">
        <v>147</v>
      </c>
      <c r="E103" t="s">
        <v>154</v>
      </c>
      <c r="F103" t="s">
        <v>23</v>
      </c>
      <c r="G103" s="91">
        <v>10</v>
      </c>
      <c r="H103" s="91"/>
      <c r="I103" s="91">
        <v>65</v>
      </c>
      <c r="J103" s="91">
        <v>650</v>
      </c>
    </row>
    <row r="104" spans="1:10">
      <c r="A104" t="s">
        <v>137</v>
      </c>
      <c r="B104" t="s">
        <v>138</v>
      </c>
      <c r="C104" t="s">
        <v>20</v>
      </c>
      <c r="D104" t="s">
        <v>147</v>
      </c>
      <c r="E104" t="s">
        <v>155</v>
      </c>
      <c r="F104" t="s">
        <v>23</v>
      </c>
      <c r="G104" s="91">
        <v>5</v>
      </c>
      <c r="H104" s="91"/>
      <c r="I104" s="91">
        <v>45.9</v>
      </c>
      <c r="J104" s="91">
        <v>229.5</v>
      </c>
    </row>
    <row r="105" spans="1:10">
      <c r="A105" t="s">
        <v>137</v>
      </c>
      <c r="B105" t="s">
        <v>138</v>
      </c>
      <c r="C105" t="s">
        <v>20</v>
      </c>
      <c r="D105" t="s">
        <v>147</v>
      </c>
      <c r="E105" t="s">
        <v>156</v>
      </c>
      <c r="F105" t="s">
        <v>42</v>
      </c>
      <c r="G105" s="91">
        <v>3000</v>
      </c>
      <c r="H105" s="91"/>
      <c r="I105" s="91">
        <v>52.42</v>
      </c>
      <c r="J105" s="91">
        <v>157260</v>
      </c>
    </row>
    <row r="106" spans="1:10">
      <c r="A106" t="s">
        <v>137</v>
      </c>
      <c r="B106" t="s">
        <v>138</v>
      </c>
      <c r="C106" t="s">
        <v>20</v>
      </c>
      <c r="D106" t="s">
        <v>147</v>
      </c>
      <c r="E106" t="s">
        <v>157</v>
      </c>
      <c r="F106" t="s">
        <v>42</v>
      </c>
      <c r="G106" s="91">
        <v>2000</v>
      </c>
      <c r="H106" s="91"/>
      <c r="I106" s="91">
        <v>16.03</v>
      </c>
      <c r="J106" s="91">
        <v>32060</v>
      </c>
    </row>
    <row r="107" spans="1:10">
      <c r="A107" t="s">
        <v>137</v>
      </c>
      <c r="B107" t="s">
        <v>138</v>
      </c>
      <c r="C107" t="s">
        <v>20</v>
      </c>
      <c r="D107" t="s">
        <v>147</v>
      </c>
      <c r="E107" t="s">
        <v>158</v>
      </c>
      <c r="F107" t="s">
        <v>42</v>
      </c>
      <c r="G107" s="91">
        <v>1500</v>
      </c>
      <c r="H107" s="91"/>
      <c r="I107" s="91">
        <v>19</v>
      </c>
      <c r="J107" s="91">
        <v>28500</v>
      </c>
    </row>
    <row r="108" spans="1:10">
      <c r="A108" t="s">
        <v>137</v>
      </c>
      <c r="B108" t="s">
        <v>138</v>
      </c>
      <c r="C108" t="s">
        <v>20</v>
      </c>
      <c r="D108" t="s">
        <v>147</v>
      </c>
      <c r="E108" t="s">
        <v>159</v>
      </c>
      <c r="F108" t="s">
        <v>42</v>
      </c>
      <c r="G108" s="91">
        <v>2000</v>
      </c>
      <c r="H108" s="91"/>
      <c r="I108" s="91">
        <v>16.03</v>
      </c>
      <c r="J108" s="91">
        <v>32060</v>
      </c>
    </row>
    <row r="109" spans="1:10">
      <c r="A109" t="s">
        <v>137</v>
      </c>
      <c r="B109" t="s">
        <v>138</v>
      </c>
      <c r="C109" t="s">
        <v>20</v>
      </c>
      <c r="D109" t="s">
        <v>147</v>
      </c>
      <c r="E109" t="s">
        <v>160</v>
      </c>
      <c r="F109" t="s">
        <v>23</v>
      </c>
      <c r="G109" s="91">
        <v>400</v>
      </c>
      <c r="H109" s="91"/>
      <c r="I109" s="91">
        <v>120</v>
      </c>
      <c r="J109" s="91">
        <v>48000</v>
      </c>
    </row>
    <row r="110" spans="1:10">
      <c r="A110" t="s">
        <v>137</v>
      </c>
      <c r="B110" t="s">
        <v>138</v>
      </c>
      <c r="C110" t="s">
        <v>20</v>
      </c>
      <c r="D110" t="s">
        <v>147</v>
      </c>
      <c r="E110" t="s">
        <v>161</v>
      </c>
      <c r="F110" t="s">
        <v>23</v>
      </c>
      <c r="G110" s="91">
        <v>300</v>
      </c>
      <c r="H110" s="91"/>
      <c r="I110" s="91">
        <v>120</v>
      </c>
      <c r="J110" s="91">
        <v>36000</v>
      </c>
    </row>
    <row r="111" spans="1:10">
      <c r="A111" t="s">
        <v>137</v>
      </c>
      <c r="B111" t="s">
        <v>138</v>
      </c>
      <c r="C111" t="s">
        <v>20</v>
      </c>
      <c r="D111" t="s">
        <v>147</v>
      </c>
      <c r="E111" t="s">
        <v>162</v>
      </c>
      <c r="F111" t="s">
        <v>23</v>
      </c>
      <c r="G111" s="91">
        <v>100</v>
      </c>
      <c r="H111" s="91"/>
      <c r="I111" s="91">
        <v>100</v>
      </c>
      <c r="J111" s="91">
        <v>10000</v>
      </c>
    </row>
    <row r="112" spans="1:10">
      <c r="A112" t="s">
        <v>137</v>
      </c>
      <c r="B112" t="s">
        <v>138</v>
      </c>
      <c r="C112" t="s">
        <v>20</v>
      </c>
      <c r="D112" t="s">
        <v>147</v>
      </c>
      <c r="E112" t="s">
        <v>163</v>
      </c>
      <c r="F112" t="s">
        <v>23</v>
      </c>
      <c r="G112" s="91">
        <v>150</v>
      </c>
      <c r="H112" s="91"/>
      <c r="I112" s="91">
        <v>100</v>
      </c>
      <c r="J112" s="91">
        <v>15000</v>
      </c>
    </row>
    <row r="113" spans="1:10">
      <c r="A113" t="s">
        <v>137</v>
      </c>
      <c r="B113" t="s">
        <v>138</v>
      </c>
      <c r="C113" t="s">
        <v>20</v>
      </c>
      <c r="D113" t="s">
        <v>147</v>
      </c>
      <c r="E113" t="s">
        <v>164</v>
      </c>
      <c r="F113" t="s">
        <v>42</v>
      </c>
      <c r="G113" s="91">
        <v>100</v>
      </c>
      <c r="H113" s="91"/>
      <c r="I113" s="91">
        <v>110</v>
      </c>
      <c r="J113" s="91">
        <v>11000</v>
      </c>
    </row>
    <row r="114" spans="1:10">
      <c r="A114" t="s">
        <v>137</v>
      </c>
      <c r="B114" t="s">
        <v>138</v>
      </c>
      <c r="C114" t="s">
        <v>20</v>
      </c>
      <c r="D114" t="s">
        <v>147</v>
      </c>
      <c r="E114" t="s">
        <v>165</v>
      </c>
      <c r="F114" t="s">
        <v>42</v>
      </c>
      <c r="G114" s="91">
        <v>500</v>
      </c>
      <c r="H114" s="91"/>
      <c r="I114" s="91">
        <v>850</v>
      </c>
      <c r="J114" s="91">
        <v>425000</v>
      </c>
    </row>
    <row r="115" spans="1:10">
      <c r="A115" t="s">
        <v>137</v>
      </c>
      <c r="B115" t="s">
        <v>138</v>
      </c>
      <c r="C115" t="s">
        <v>20</v>
      </c>
      <c r="D115" t="s">
        <v>147</v>
      </c>
      <c r="E115" t="s">
        <v>166</v>
      </c>
      <c r="F115" t="s">
        <v>42</v>
      </c>
      <c r="G115" s="91">
        <v>700</v>
      </c>
      <c r="H115" s="91"/>
      <c r="I115" s="91">
        <v>10.58</v>
      </c>
      <c r="J115" s="91">
        <v>7406</v>
      </c>
    </row>
    <row r="116" spans="1:10">
      <c r="A116" t="s">
        <v>137</v>
      </c>
      <c r="B116" t="s">
        <v>138</v>
      </c>
      <c r="C116" t="s">
        <v>20</v>
      </c>
      <c r="D116" t="s">
        <v>147</v>
      </c>
      <c r="E116" t="s">
        <v>167</v>
      </c>
      <c r="F116" t="s">
        <v>42</v>
      </c>
      <c r="G116" s="91">
        <v>1000</v>
      </c>
      <c r="H116" s="91"/>
      <c r="I116" s="91">
        <v>10.58</v>
      </c>
      <c r="J116" s="91">
        <v>10580</v>
      </c>
    </row>
    <row r="117" spans="1:10">
      <c r="A117" t="s">
        <v>137</v>
      </c>
      <c r="B117" t="s">
        <v>138</v>
      </c>
      <c r="C117" t="s">
        <v>20</v>
      </c>
      <c r="D117" t="s">
        <v>147</v>
      </c>
      <c r="E117" t="s">
        <v>168</v>
      </c>
      <c r="F117" t="s">
        <v>42</v>
      </c>
      <c r="G117" s="91">
        <v>700</v>
      </c>
      <c r="H117" s="91"/>
      <c r="I117" s="91">
        <v>10.58</v>
      </c>
      <c r="J117" s="91">
        <v>7406</v>
      </c>
    </row>
    <row r="118" spans="1:10">
      <c r="A118" t="s">
        <v>137</v>
      </c>
      <c r="B118" t="s">
        <v>138</v>
      </c>
      <c r="C118" t="s">
        <v>20</v>
      </c>
      <c r="D118" t="s">
        <v>147</v>
      </c>
      <c r="E118" t="s">
        <v>169</v>
      </c>
      <c r="F118" t="s">
        <v>23</v>
      </c>
      <c r="G118" s="91">
        <v>600</v>
      </c>
      <c r="H118" s="91"/>
      <c r="I118" s="91">
        <v>2595</v>
      </c>
      <c r="J118" s="91">
        <v>1557000</v>
      </c>
    </row>
    <row r="119" spans="1:10">
      <c r="A119" t="s">
        <v>137</v>
      </c>
      <c r="B119" t="s">
        <v>138</v>
      </c>
      <c r="C119" t="s">
        <v>20</v>
      </c>
      <c r="D119" t="s">
        <v>147</v>
      </c>
      <c r="E119" t="s">
        <v>170</v>
      </c>
      <c r="F119" t="s">
        <v>23</v>
      </c>
      <c r="G119" s="91">
        <v>500</v>
      </c>
      <c r="H119" s="91"/>
      <c r="I119" s="91">
        <v>8</v>
      </c>
      <c r="J119" s="91">
        <v>4000</v>
      </c>
    </row>
    <row r="120" spans="1:10">
      <c r="A120" t="s">
        <v>137</v>
      </c>
      <c r="B120" t="s">
        <v>138</v>
      </c>
      <c r="C120" t="s">
        <v>20</v>
      </c>
      <c r="D120" t="s">
        <v>147</v>
      </c>
      <c r="E120" t="s">
        <v>171</v>
      </c>
      <c r="F120" t="s">
        <v>23</v>
      </c>
      <c r="G120" s="91">
        <v>125</v>
      </c>
      <c r="H120" s="91"/>
      <c r="I120" s="91">
        <v>8.5</v>
      </c>
      <c r="J120" s="91">
        <v>1062.5</v>
      </c>
    </row>
    <row r="121" spans="1:10">
      <c r="A121" t="s">
        <v>137</v>
      </c>
      <c r="B121" t="s">
        <v>138</v>
      </c>
      <c r="C121" t="s">
        <v>20</v>
      </c>
      <c r="D121" t="s">
        <v>147</v>
      </c>
      <c r="E121" t="s">
        <v>172</v>
      </c>
      <c r="F121" t="s">
        <v>23</v>
      </c>
      <c r="G121" s="91">
        <v>125</v>
      </c>
      <c r="H121" s="91"/>
      <c r="I121" s="91">
        <v>8.5</v>
      </c>
      <c r="J121" s="91">
        <v>1062.5</v>
      </c>
    </row>
    <row r="122" spans="1:10">
      <c r="A122" t="s">
        <v>137</v>
      </c>
      <c r="B122" t="s">
        <v>138</v>
      </c>
      <c r="C122" t="s">
        <v>20</v>
      </c>
      <c r="D122" t="s">
        <v>147</v>
      </c>
      <c r="E122" t="s">
        <v>173</v>
      </c>
      <c r="F122" t="s">
        <v>23</v>
      </c>
      <c r="G122" s="91">
        <v>400</v>
      </c>
      <c r="H122" s="91"/>
      <c r="I122" s="91">
        <v>115.2</v>
      </c>
      <c r="J122" s="91">
        <v>46080</v>
      </c>
    </row>
    <row r="123" spans="1:10">
      <c r="A123" t="s">
        <v>137</v>
      </c>
      <c r="B123" t="s">
        <v>138</v>
      </c>
      <c r="C123" t="s">
        <v>20</v>
      </c>
      <c r="D123" t="s">
        <v>147</v>
      </c>
      <c r="E123" t="s">
        <v>174</v>
      </c>
      <c r="F123" t="s">
        <v>175</v>
      </c>
      <c r="G123" s="91">
        <v>25</v>
      </c>
      <c r="H123" s="91"/>
      <c r="I123" s="91">
        <v>100</v>
      </c>
      <c r="J123" s="91">
        <v>2500</v>
      </c>
    </row>
    <row r="124" spans="1:10">
      <c r="A124" t="s">
        <v>137</v>
      </c>
      <c r="B124" t="s">
        <v>138</v>
      </c>
      <c r="C124" t="s">
        <v>20</v>
      </c>
      <c r="D124" t="s">
        <v>147</v>
      </c>
      <c r="E124" t="s">
        <v>176</v>
      </c>
      <c r="F124" t="s">
        <v>42</v>
      </c>
      <c r="G124" s="91">
        <v>200</v>
      </c>
      <c r="H124" s="91"/>
      <c r="I124" s="91">
        <v>60</v>
      </c>
      <c r="J124" s="91">
        <v>12000</v>
      </c>
    </row>
    <row r="125" spans="1:10">
      <c r="A125" t="s">
        <v>137</v>
      </c>
      <c r="B125" t="s">
        <v>138</v>
      </c>
      <c r="C125" t="s">
        <v>20</v>
      </c>
      <c r="D125" t="s">
        <v>147</v>
      </c>
      <c r="E125" t="s">
        <v>177</v>
      </c>
      <c r="F125" t="s">
        <v>42</v>
      </c>
      <c r="G125" s="91">
        <v>3500</v>
      </c>
      <c r="H125" s="91"/>
      <c r="I125" s="91">
        <v>103</v>
      </c>
      <c r="J125" s="91">
        <v>360500</v>
      </c>
    </row>
    <row r="126" spans="1:10">
      <c r="A126" t="s">
        <v>137</v>
      </c>
      <c r="B126" t="s">
        <v>138</v>
      </c>
      <c r="C126" t="s">
        <v>20</v>
      </c>
      <c r="D126" t="s">
        <v>147</v>
      </c>
      <c r="E126" t="s">
        <v>178</v>
      </c>
      <c r="F126" t="s">
        <v>42</v>
      </c>
      <c r="G126" s="91">
        <v>1000</v>
      </c>
      <c r="H126" s="91"/>
      <c r="I126" s="91">
        <v>70</v>
      </c>
      <c r="J126" s="91">
        <v>70000</v>
      </c>
    </row>
    <row r="127" spans="1:10">
      <c r="A127" t="s">
        <v>137</v>
      </c>
      <c r="B127" t="s">
        <v>138</v>
      </c>
      <c r="C127" t="s">
        <v>20</v>
      </c>
      <c r="D127" t="s">
        <v>147</v>
      </c>
      <c r="E127" t="s">
        <v>179</v>
      </c>
      <c r="F127" t="s">
        <v>42</v>
      </c>
      <c r="G127" s="91">
        <v>1000</v>
      </c>
      <c r="H127" s="91"/>
      <c r="I127" s="91">
        <v>30</v>
      </c>
      <c r="J127" s="91">
        <v>30000</v>
      </c>
    </row>
    <row r="128" spans="1:10">
      <c r="A128" t="s">
        <v>137</v>
      </c>
      <c r="B128" t="s">
        <v>138</v>
      </c>
      <c r="C128" t="s">
        <v>20</v>
      </c>
      <c r="D128" t="s">
        <v>147</v>
      </c>
      <c r="E128" t="s">
        <v>180</v>
      </c>
      <c r="F128" t="s">
        <v>42</v>
      </c>
      <c r="G128" s="91">
        <v>1000</v>
      </c>
      <c r="H128" s="91"/>
      <c r="I128" s="91">
        <v>30</v>
      </c>
      <c r="J128" s="91">
        <v>30000</v>
      </c>
    </row>
    <row r="129" spans="1:10">
      <c r="A129" t="s">
        <v>137</v>
      </c>
      <c r="B129" t="s">
        <v>138</v>
      </c>
      <c r="C129" t="s">
        <v>20</v>
      </c>
      <c r="D129" t="s">
        <v>147</v>
      </c>
      <c r="E129" t="s">
        <v>181</v>
      </c>
      <c r="F129" t="s">
        <v>42</v>
      </c>
      <c r="G129" s="91">
        <v>1000</v>
      </c>
      <c r="H129" s="91"/>
      <c r="I129" s="91">
        <v>30</v>
      </c>
      <c r="J129" s="91">
        <v>30000</v>
      </c>
    </row>
    <row r="130" spans="1:10">
      <c r="A130" t="s">
        <v>137</v>
      </c>
      <c r="B130" t="s">
        <v>138</v>
      </c>
      <c r="C130" t="s">
        <v>20</v>
      </c>
      <c r="D130" t="s">
        <v>147</v>
      </c>
      <c r="E130" t="s">
        <v>182</v>
      </c>
      <c r="F130" t="s">
        <v>42</v>
      </c>
      <c r="G130" s="91">
        <v>1000</v>
      </c>
      <c r="H130" s="91"/>
      <c r="I130" s="91">
        <v>100</v>
      </c>
      <c r="J130" s="91">
        <v>100000</v>
      </c>
    </row>
    <row r="131" spans="1:10">
      <c r="A131" t="s">
        <v>137</v>
      </c>
      <c r="B131" t="s">
        <v>138</v>
      </c>
      <c r="C131" t="s">
        <v>20</v>
      </c>
      <c r="D131" t="s">
        <v>147</v>
      </c>
      <c r="E131" t="s">
        <v>183</v>
      </c>
      <c r="F131" t="s">
        <v>175</v>
      </c>
      <c r="G131" s="91">
        <v>40</v>
      </c>
      <c r="H131" s="91"/>
      <c r="I131" s="91">
        <v>100</v>
      </c>
      <c r="J131" s="91">
        <v>4000</v>
      </c>
    </row>
    <row r="132" spans="1:10">
      <c r="A132" t="s">
        <v>137</v>
      </c>
      <c r="B132" t="s">
        <v>138</v>
      </c>
      <c r="C132" t="s">
        <v>20</v>
      </c>
      <c r="D132" t="s">
        <v>147</v>
      </c>
      <c r="E132" t="s">
        <v>184</v>
      </c>
      <c r="F132" t="s">
        <v>23</v>
      </c>
      <c r="G132" s="91">
        <v>30</v>
      </c>
      <c r="H132" s="91"/>
      <c r="I132" s="91">
        <v>150</v>
      </c>
      <c r="J132" s="91">
        <v>4500</v>
      </c>
    </row>
    <row r="133" spans="1:10">
      <c r="A133" t="s">
        <v>137</v>
      </c>
      <c r="B133" t="s">
        <v>138</v>
      </c>
      <c r="C133" t="s">
        <v>20</v>
      </c>
      <c r="D133" t="s">
        <v>147</v>
      </c>
      <c r="E133" t="s">
        <v>185</v>
      </c>
      <c r="F133" t="s">
        <v>23</v>
      </c>
      <c r="G133" s="91">
        <v>30</v>
      </c>
      <c r="H133" s="91"/>
      <c r="I133" s="91">
        <v>150</v>
      </c>
      <c r="J133" s="91">
        <v>4500</v>
      </c>
    </row>
    <row r="134" spans="1:10">
      <c r="A134" t="s">
        <v>137</v>
      </c>
      <c r="B134" t="s">
        <v>138</v>
      </c>
      <c r="C134" t="s">
        <v>20</v>
      </c>
      <c r="D134" t="s">
        <v>147</v>
      </c>
      <c r="E134" t="s">
        <v>186</v>
      </c>
      <c r="F134" t="s">
        <v>42</v>
      </c>
      <c r="G134" s="91">
        <v>500</v>
      </c>
      <c r="H134" s="91"/>
      <c r="I134" s="91">
        <v>200</v>
      </c>
      <c r="J134" s="91">
        <v>100000</v>
      </c>
    </row>
    <row r="135" spans="1:10">
      <c r="A135" t="s">
        <v>137</v>
      </c>
      <c r="B135" t="s">
        <v>138</v>
      </c>
      <c r="C135" t="s">
        <v>20</v>
      </c>
      <c r="D135" t="s">
        <v>147</v>
      </c>
      <c r="E135" t="s">
        <v>187</v>
      </c>
      <c r="F135" t="s">
        <v>42</v>
      </c>
      <c r="G135" s="91">
        <v>300</v>
      </c>
      <c r="H135" s="91"/>
      <c r="I135" s="91">
        <v>80</v>
      </c>
      <c r="J135" s="91">
        <v>24000</v>
      </c>
    </row>
    <row r="136" spans="1:10">
      <c r="A136" t="s">
        <v>137</v>
      </c>
      <c r="B136" t="s">
        <v>138</v>
      </c>
      <c r="C136" t="s">
        <v>20</v>
      </c>
      <c r="D136" t="s">
        <v>147</v>
      </c>
      <c r="E136" t="s">
        <v>188</v>
      </c>
      <c r="F136" t="s">
        <v>42</v>
      </c>
      <c r="G136" s="91">
        <v>150</v>
      </c>
      <c r="H136" s="91"/>
      <c r="I136" s="91">
        <v>250</v>
      </c>
      <c r="J136" s="91">
        <v>37500</v>
      </c>
    </row>
    <row r="137" spans="1:10">
      <c r="A137" t="s">
        <v>137</v>
      </c>
      <c r="B137" t="s">
        <v>138</v>
      </c>
      <c r="C137" t="s">
        <v>20</v>
      </c>
      <c r="D137" t="s">
        <v>147</v>
      </c>
      <c r="E137" t="s">
        <v>189</v>
      </c>
      <c r="F137" t="s">
        <v>42</v>
      </c>
      <c r="G137" s="91">
        <v>350</v>
      </c>
      <c r="H137" s="91"/>
      <c r="I137" s="91">
        <v>260</v>
      </c>
      <c r="J137" s="91">
        <v>91000</v>
      </c>
    </row>
    <row r="138" spans="1:10">
      <c r="A138" t="s">
        <v>137</v>
      </c>
      <c r="B138" t="s">
        <v>138</v>
      </c>
      <c r="C138" t="s">
        <v>20</v>
      </c>
      <c r="D138" t="s">
        <v>147</v>
      </c>
      <c r="E138" t="s">
        <v>190</v>
      </c>
      <c r="F138" t="s">
        <v>42</v>
      </c>
      <c r="G138" s="91">
        <v>500</v>
      </c>
      <c r="H138" s="91"/>
      <c r="I138" s="91">
        <v>290</v>
      </c>
      <c r="J138" s="91">
        <v>145000</v>
      </c>
    </row>
    <row r="139" spans="1:10">
      <c r="A139" t="s">
        <v>137</v>
      </c>
      <c r="B139" t="s">
        <v>138</v>
      </c>
      <c r="C139" t="s">
        <v>20</v>
      </c>
      <c r="D139" t="s">
        <v>147</v>
      </c>
      <c r="E139" t="s">
        <v>191</v>
      </c>
      <c r="F139" t="s">
        <v>23</v>
      </c>
      <c r="G139" s="91">
        <v>500</v>
      </c>
      <c r="H139" s="91"/>
      <c r="I139" s="91">
        <v>52.25</v>
      </c>
      <c r="J139" s="91">
        <v>26125</v>
      </c>
    </row>
    <row r="140" spans="1:10">
      <c r="A140" t="s">
        <v>137</v>
      </c>
      <c r="B140" t="s">
        <v>138</v>
      </c>
      <c r="C140" t="s">
        <v>20</v>
      </c>
      <c r="D140" t="s">
        <v>147</v>
      </c>
      <c r="E140" t="s">
        <v>192</v>
      </c>
      <c r="F140" t="s">
        <v>23</v>
      </c>
      <c r="G140" s="91">
        <v>0</v>
      </c>
      <c r="H140" s="91"/>
      <c r="I140" s="91">
        <v>0</v>
      </c>
      <c r="J140" s="91">
        <v>0</v>
      </c>
    </row>
    <row r="141" spans="1:10">
      <c r="A141" t="s">
        <v>137</v>
      </c>
      <c r="B141" t="s">
        <v>138</v>
      </c>
      <c r="C141" t="s">
        <v>20</v>
      </c>
      <c r="D141" t="s">
        <v>147</v>
      </c>
      <c r="E141" t="s">
        <v>193</v>
      </c>
      <c r="F141" t="s">
        <v>42</v>
      </c>
      <c r="G141" s="91">
        <v>700</v>
      </c>
      <c r="H141" s="91"/>
      <c r="I141" s="91">
        <v>250</v>
      </c>
      <c r="J141" s="91">
        <v>175000</v>
      </c>
    </row>
    <row r="142" spans="1:10">
      <c r="A142" t="s">
        <v>137</v>
      </c>
      <c r="B142" t="s">
        <v>138</v>
      </c>
      <c r="C142" t="s">
        <v>20</v>
      </c>
      <c r="D142" t="s">
        <v>147</v>
      </c>
      <c r="E142" t="s">
        <v>194</v>
      </c>
      <c r="F142" t="s">
        <v>42</v>
      </c>
      <c r="G142" s="91">
        <v>700</v>
      </c>
      <c r="H142" s="91"/>
      <c r="I142" s="91">
        <v>250</v>
      </c>
      <c r="J142" s="91">
        <v>175000</v>
      </c>
    </row>
    <row r="143" spans="1:10">
      <c r="A143" t="s">
        <v>137</v>
      </c>
      <c r="B143" t="s">
        <v>138</v>
      </c>
      <c r="C143" t="s">
        <v>20</v>
      </c>
      <c r="D143" t="s">
        <v>147</v>
      </c>
      <c r="E143" t="s">
        <v>195</v>
      </c>
      <c r="F143" t="s">
        <v>23</v>
      </c>
      <c r="G143" s="91">
        <v>100</v>
      </c>
      <c r="H143" s="91"/>
      <c r="I143" s="91">
        <v>90</v>
      </c>
      <c r="J143" s="91">
        <v>9000</v>
      </c>
    </row>
    <row r="144" spans="1:10">
      <c r="A144" t="s">
        <v>137</v>
      </c>
      <c r="B144" t="s">
        <v>138</v>
      </c>
      <c r="C144" t="s">
        <v>20</v>
      </c>
      <c r="D144" t="s">
        <v>147</v>
      </c>
      <c r="E144" t="s">
        <v>196</v>
      </c>
      <c r="F144" t="s">
        <v>42</v>
      </c>
      <c r="G144" s="91">
        <v>150</v>
      </c>
      <c r="H144" s="91"/>
      <c r="I144" s="91">
        <v>480.76</v>
      </c>
      <c r="J144" s="91">
        <v>72114</v>
      </c>
    </row>
    <row r="145" spans="1:10">
      <c r="A145" t="s">
        <v>137</v>
      </c>
      <c r="B145" t="s">
        <v>138</v>
      </c>
      <c r="C145" t="s">
        <v>20</v>
      </c>
      <c r="D145" t="s">
        <v>147</v>
      </c>
      <c r="E145" t="s">
        <v>197</v>
      </c>
      <c r="F145" t="s">
        <v>23</v>
      </c>
      <c r="G145" s="91">
        <v>20</v>
      </c>
      <c r="H145" s="91"/>
      <c r="I145" s="91">
        <v>450</v>
      </c>
      <c r="J145" s="91">
        <v>9000</v>
      </c>
    </row>
    <row r="146" spans="1:10">
      <c r="A146" t="s">
        <v>137</v>
      </c>
      <c r="B146" t="s">
        <v>138</v>
      </c>
      <c r="C146" t="s">
        <v>20</v>
      </c>
      <c r="D146" t="s">
        <v>147</v>
      </c>
      <c r="E146" t="s">
        <v>198</v>
      </c>
      <c r="F146" t="s">
        <v>23</v>
      </c>
      <c r="G146" s="91">
        <v>200</v>
      </c>
      <c r="H146" s="91"/>
      <c r="I146" s="91">
        <v>6</v>
      </c>
      <c r="J146" s="91">
        <v>1200</v>
      </c>
    </row>
    <row r="147" spans="1:10">
      <c r="A147" t="s">
        <v>137</v>
      </c>
      <c r="B147" t="s">
        <v>138</v>
      </c>
      <c r="C147" t="s">
        <v>20</v>
      </c>
      <c r="D147" t="s">
        <v>147</v>
      </c>
      <c r="E147" t="s">
        <v>199</v>
      </c>
      <c r="F147" t="s">
        <v>23</v>
      </c>
      <c r="G147" s="91">
        <v>40</v>
      </c>
      <c r="H147" s="91"/>
      <c r="I147" s="91">
        <v>9</v>
      </c>
      <c r="J147" s="91">
        <v>360</v>
      </c>
    </row>
    <row r="148" spans="1:10">
      <c r="A148" t="s">
        <v>137</v>
      </c>
      <c r="B148" t="s">
        <v>138</v>
      </c>
      <c r="C148" t="s">
        <v>20</v>
      </c>
      <c r="D148" t="s">
        <v>147</v>
      </c>
      <c r="E148" t="s">
        <v>200</v>
      </c>
      <c r="F148" t="s">
        <v>23</v>
      </c>
      <c r="G148" s="91">
        <v>300</v>
      </c>
      <c r="H148" s="91"/>
      <c r="I148" s="91">
        <v>6</v>
      </c>
      <c r="J148" s="91">
        <v>1800</v>
      </c>
    </row>
    <row r="149" spans="1:10">
      <c r="A149" t="s">
        <v>137</v>
      </c>
      <c r="B149" t="s">
        <v>138</v>
      </c>
      <c r="C149" t="s">
        <v>20</v>
      </c>
      <c r="D149" t="s">
        <v>147</v>
      </c>
      <c r="E149" t="s">
        <v>201</v>
      </c>
      <c r="F149" t="s">
        <v>23</v>
      </c>
      <c r="G149" s="91">
        <v>100</v>
      </c>
      <c r="H149" s="91"/>
      <c r="I149" s="91">
        <v>6</v>
      </c>
      <c r="J149" s="91">
        <v>600</v>
      </c>
    </row>
    <row r="150" spans="1:10">
      <c r="A150" t="s">
        <v>137</v>
      </c>
      <c r="B150" t="s">
        <v>138</v>
      </c>
      <c r="C150" t="s">
        <v>20</v>
      </c>
      <c r="D150" t="s">
        <v>147</v>
      </c>
      <c r="E150" t="s">
        <v>202</v>
      </c>
      <c r="F150" t="s">
        <v>23</v>
      </c>
      <c r="G150" s="91">
        <v>100</v>
      </c>
      <c r="H150" s="91"/>
      <c r="I150" s="91">
        <v>20</v>
      </c>
      <c r="J150" s="91">
        <v>2000</v>
      </c>
    </row>
    <row r="151" spans="1:10">
      <c r="A151" t="s">
        <v>137</v>
      </c>
      <c r="B151" t="s">
        <v>138</v>
      </c>
      <c r="C151" t="s">
        <v>20</v>
      </c>
      <c r="D151" t="s">
        <v>147</v>
      </c>
      <c r="E151" t="s">
        <v>203</v>
      </c>
      <c r="F151" t="s">
        <v>23</v>
      </c>
      <c r="G151" s="91">
        <v>200</v>
      </c>
      <c r="H151" s="91"/>
      <c r="I151" s="91">
        <v>6</v>
      </c>
      <c r="J151" s="91">
        <v>1200</v>
      </c>
    </row>
    <row r="152" spans="1:10">
      <c r="A152" t="s">
        <v>137</v>
      </c>
      <c r="B152" t="s">
        <v>138</v>
      </c>
      <c r="C152" t="s">
        <v>20</v>
      </c>
      <c r="D152" t="s">
        <v>147</v>
      </c>
      <c r="E152" t="s">
        <v>204</v>
      </c>
      <c r="F152" t="s">
        <v>23</v>
      </c>
      <c r="G152" s="91">
        <v>100</v>
      </c>
      <c r="H152" s="91"/>
      <c r="I152" s="91">
        <v>30</v>
      </c>
      <c r="J152" s="91">
        <v>3000</v>
      </c>
    </row>
    <row r="153" spans="1:10">
      <c r="A153" t="s">
        <v>137</v>
      </c>
      <c r="B153" t="s">
        <v>138</v>
      </c>
      <c r="C153" t="s">
        <v>20</v>
      </c>
      <c r="D153" t="s">
        <v>147</v>
      </c>
      <c r="E153" t="s">
        <v>205</v>
      </c>
      <c r="F153" t="s">
        <v>23</v>
      </c>
      <c r="G153" s="91">
        <v>150</v>
      </c>
      <c r="H153" s="91"/>
      <c r="I153" s="91">
        <v>6</v>
      </c>
      <c r="J153" s="91">
        <v>900</v>
      </c>
    </row>
    <row r="154" spans="1:10">
      <c r="A154" t="s">
        <v>137</v>
      </c>
      <c r="B154" t="s">
        <v>138</v>
      </c>
      <c r="C154" t="s">
        <v>20</v>
      </c>
      <c r="D154" t="s">
        <v>147</v>
      </c>
      <c r="E154" t="s">
        <v>206</v>
      </c>
      <c r="F154" t="s">
        <v>23</v>
      </c>
      <c r="G154" s="91">
        <v>500</v>
      </c>
      <c r="H154" s="91"/>
      <c r="I154" s="91">
        <v>25.3</v>
      </c>
      <c r="J154" s="91">
        <v>12650</v>
      </c>
    </row>
    <row r="155" spans="1:10">
      <c r="A155" t="s">
        <v>137</v>
      </c>
      <c r="B155" t="s">
        <v>138</v>
      </c>
      <c r="C155" t="s">
        <v>20</v>
      </c>
      <c r="D155" t="s">
        <v>147</v>
      </c>
      <c r="E155" t="s">
        <v>207</v>
      </c>
      <c r="F155" t="s">
        <v>23</v>
      </c>
      <c r="G155" s="91">
        <v>100</v>
      </c>
      <c r="H155" s="91"/>
      <c r="I155" s="91">
        <v>350</v>
      </c>
      <c r="J155" s="91">
        <v>35000</v>
      </c>
    </row>
    <row r="156" spans="1:10">
      <c r="A156" t="s">
        <v>137</v>
      </c>
      <c r="B156" t="s">
        <v>138</v>
      </c>
      <c r="C156" t="s">
        <v>20</v>
      </c>
      <c r="D156" t="s">
        <v>147</v>
      </c>
      <c r="E156" t="s">
        <v>208</v>
      </c>
      <c r="F156" t="s">
        <v>23</v>
      </c>
      <c r="G156" s="91">
        <v>10</v>
      </c>
      <c r="H156" s="91"/>
      <c r="I156" s="91">
        <v>200</v>
      </c>
      <c r="J156" s="91">
        <v>2000</v>
      </c>
    </row>
    <row r="157" spans="1:10">
      <c r="A157" t="s">
        <v>137</v>
      </c>
      <c r="B157" t="s">
        <v>138</v>
      </c>
      <c r="C157" t="s">
        <v>20</v>
      </c>
      <c r="D157" t="s">
        <v>147</v>
      </c>
      <c r="E157" t="s">
        <v>209</v>
      </c>
      <c r="F157" t="s">
        <v>23</v>
      </c>
      <c r="G157" s="91">
        <v>50</v>
      </c>
      <c r="H157" s="91"/>
      <c r="I157" s="91">
        <v>150</v>
      </c>
      <c r="J157" s="91">
        <v>7500</v>
      </c>
    </row>
    <row r="158" spans="1:10">
      <c r="A158" t="s">
        <v>137</v>
      </c>
      <c r="B158" t="s">
        <v>138</v>
      </c>
      <c r="C158" t="s">
        <v>20</v>
      </c>
      <c r="D158" t="s">
        <v>147</v>
      </c>
      <c r="E158" t="s">
        <v>210</v>
      </c>
      <c r="F158" t="s">
        <v>23</v>
      </c>
      <c r="G158" s="91">
        <v>1</v>
      </c>
      <c r="H158" s="91"/>
      <c r="I158" s="91">
        <v>810</v>
      </c>
      <c r="J158" s="91">
        <v>810</v>
      </c>
    </row>
    <row r="159" spans="1:10">
      <c r="A159" t="s">
        <v>137</v>
      </c>
      <c r="B159" t="s">
        <v>138</v>
      </c>
      <c r="C159" t="s">
        <v>20</v>
      </c>
      <c r="D159" t="s">
        <v>147</v>
      </c>
      <c r="E159" t="s">
        <v>211</v>
      </c>
      <c r="F159" t="s">
        <v>23</v>
      </c>
      <c r="G159" s="91">
        <v>100</v>
      </c>
      <c r="H159" s="91"/>
      <c r="I159" s="91">
        <v>15</v>
      </c>
      <c r="J159" s="91">
        <v>1500</v>
      </c>
    </row>
    <row r="160" spans="1:10">
      <c r="A160" t="s">
        <v>137</v>
      </c>
      <c r="B160" t="s">
        <v>138</v>
      </c>
      <c r="C160" t="s">
        <v>20</v>
      </c>
      <c r="D160" t="s">
        <v>147</v>
      </c>
      <c r="E160" t="s">
        <v>212</v>
      </c>
      <c r="F160" t="s">
        <v>23</v>
      </c>
      <c r="G160" s="91">
        <v>200</v>
      </c>
      <c r="H160" s="91"/>
      <c r="I160" s="91">
        <v>2</v>
      </c>
      <c r="J160" s="91">
        <v>400</v>
      </c>
    </row>
    <row r="161" spans="1:10">
      <c r="A161" t="s">
        <v>137</v>
      </c>
      <c r="B161" t="s">
        <v>138</v>
      </c>
      <c r="C161" t="s">
        <v>20</v>
      </c>
      <c r="D161" t="s">
        <v>147</v>
      </c>
      <c r="E161" t="s">
        <v>213</v>
      </c>
      <c r="F161" t="s">
        <v>23</v>
      </c>
      <c r="G161" s="91">
        <v>200</v>
      </c>
      <c r="H161" s="91"/>
      <c r="I161" s="91">
        <v>3</v>
      </c>
      <c r="J161" s="91">
        <v>600</v>
      </c>
    </row>
    <row r="162" spans="1:10">
      <c r="A162" t="s">
        <v>137</v>
      </c>
      <c r="B162" t="s">
        <v>138</v>
      </c>
      <c r="C162" t="s">
        <v>20</v>
      </c>
      <c r="D162" t="s">
        <v>147</v>
      </c>
      <c r="E162" t="s">
        <v>214</v>
      </c>
      <c r="F162" t="s">
        <v>23</v>
      </c>
      <c r="G162" s="91">
        <v>10</v>
      </c>
      <c r="H162" s="91"/>
      <c r="I162" s="91">
        <v>450</v>
      </c>
      <c r="J162" s="91">
        <v>4500</v>
      </c>
    </row>
    <row r="163" spans="1:10">
      <c r="A163" t="s">
        <v>137</v>
      </c>
      <c r="B163" t="s">
        <v>138</v>
      </c>
      <c r="C163" t="s">
        <v>20</v>
      </c>
      <c r="D163" t="s">
        <v>147</v>
      </c>
      <c r="E163" t="s">
        <v>215</v>
      </c>
      <c r="F163" t="s">
        <v>23</v>
      </c>
      <c r="G163" s="91">
        <v>2</v>
      </c>
      <c r="H163" s="91"/>
      <c r="I163" s="91">
        <v>0</v>
      </c>
      <c r="J163" s="91">
        <v>0</v>
      </c>
    </row>
    <row r="164" spans="1:10">
      <c r="A164" t="s">
        <v>137</v>
      </c>
      <c r="B164" t="s">
        <v>138</v>
      </c>
      <c r="C164" t="s">
        <v>20</v>
      </c>
      <c r="D164" t="s">
        <v>147</v>
      </c>
      <c r="E164" t="s">
        <v>216</v>
      </c>
      <c r="F164" t="s">
        <v>23</v>
      </c>
      <c r="G164" s="91">
        <v>5</v>
      </c>
      <c r="H164" s="91"/>
      <c r="I164" s="91">
        <v>500</v>
      </c>
      <c r="J164" s="91">
        <v>2500</v>
      </c>
    </row>
    <row r="165" spans="1:10">
      <c r="A165" t="s">
        <v>137</v>
      </c>
      <c r="B165" t="s">
        <v>138</v>
      </c>
      <c r="C165" t="s">
        <v>20</v>
      </c>
      <c r="D165" t="s">
        <v>147</v>
      </c>
      <c r="E165" t="s">
        <v>217</v>
      </c>
      <c r="F165" t="s">
        <v>23</v>
      </c>
      <c r="G165" s="91">
        <v>20</v>
      </c>
      <c r="H165" s="91"/>
      <c r="I165" s="91">
        <v>35000</v>
      </c>
      <c r="J165" s="91">
        <v>700000</v>
      </c>
    </row>
    <row r="166" spans="1:10">
      <c r="A166" t="s">
        <v>137</v>
      </c>
      <c r="B166" t="s">
        <v>138</v>
      </c>
      <c r="C166" t="s">
        <v>20</v>
      </c>
      <c r="D166" t="s">
        <v>147</v>
      </c>
      <c r="E166" t="s">
        <v>218</v>
      </c>
      <c r="F166" t="s">
        <v>23</v>
      </c>
      <c r="G166" s="91">
        <v>250</v>
      </c>
      <c r="H166" s="91"/>
      <c r="I166" s="91">
        <v>240</v>
      </c>
      <c r="J166" s="91">
        <v>60000</v>
      </c>
    </row>
    <row r="167" spans="1:10">
      <c r="A167" t="s">
        <v>137</v>
      </c>
      <c r="B167" t="s">
        <v>138</v>
      </c>
      <c r="C167" t="s">
        <v>20</v>
      </c>
      <c r="D167" t="s">
        <v>147</v>
      </c>
      <c r="E167" t="s">
        <v>219</v>
      </c>
      <c r="F167" t="s">
        <v>23</v>
      </c>
      <c r="G167" s="91">
        <v>10</v>
      </c>
      <c r="H167" s="91"/>
      <c r="I167" s="91">
        <v>125</v>
      </c>
      <c r="J167" s="91">
        <v>1250</v>
      </c>
    </row>
    <row r="168" spans="1:10">
      <c r="A168" t="s">
        <v>137</v>
      </c>
      <c r="B168" t="s">
        <v>138</v>
      </c>
      <c r="C168" t="s">
        <v>20</v>
      </c>
      <c r="D168" t="s">
        <v>147</v>
      </c>
      <c r="E168" t="s">
        <v>220</v>
      </c>
      <c r="F168" t="s">
        <v>42</v>
      </c>
      <c r="G168" s="91">
        <v>1000</v>
      </c>
      <c r="H168" s="91"/>
      <c r="I168" s="91">
        <v>105</v>
      </c>
      <c r="J168" s="91">
        <v>105000</v>
      </c>
    </row>
    <row r="169" spans="1:10">
      <c r="A169" t="s">
        <v>137</v>
      </c>
      <c r="B169" t="s">
        <v>138</v>
      </c>
      <c r="C169" t="s">
        <v>20</v>
      </c>
      <c r="D169" t="s">
        <v>147</v>
      </c>
      <c r="E169" t="s">
        <v>221</v>
      </c>
      <c r="F169" t="s">
        <v>23</v>
      </c>
      <c r="G169" s="91">
        <v>10</v>
      </c>
      <c r="H169" s="91"/>
      <c r="I169" s="91">
        <v>1015</v>
      </c>
      <c r="J169" s="91">
        <v>10150</v>
      </c>
    </row>
    <row r="170" spans="1:10">
      <c r="A170" t="s">
        <v>137</v>
      </c>
      <c r="B170" t="s">
        <v>138</v>
      </c>
      <c r="C170" t="s">
        <v>20</v>
      </c>
      <c r="D170" t="s">
        <v>147</v>
      </c>
      <c r="E170" t="s">
        <v>222</v>
      </c>
      <c r="F170" t="s">
        <v>23</v>
      </c>
      <c r="G170" s="91">
        <v>1500</v>
      </c>
      <c r="H170" s="91"/>
      <c r="I170" s="91">
        <v>9.6</v>
      </c>
      <c r="J170" s="91">
        <v>14400</v>
      </c>
    </row>
    <row r="171" spans="1:10">
      <c r="A171" t="s">
        <v>137</v>
      </c>
      <c r="B171" t="s">
        <v>138</v>
      </c>
      <c r="C171" t="s">
        <v>20</v>
      </c>
      <c r="D171" t="s">
        <v>147</v>
      </c>
      <c r="E171" t="s">
        <v>223</v>
      </c>
      <c r="F171" t="s">
        <v>23</v>
      </c>
      <c r="G171" s="91">
        <v>200</v>
      </c>
      <c r="H171" s="91"/>
      <c r="I171" s="91">
        <v>10</v>
      </c>
      <c r="J171" s="91">
        <v>2000</v>
      </c>
    </row>
    <row r="172" spans="1:10">
      <c r="A172" t="s">
        <v>137</v>
      </c>
      <c r="B172" t="s">
        <v>138</v>
      </c>
      <c r="C172" t="s">
        <v>20</v>
      </c>
      <c r="D172" t="s">
        <v>147</v>
      </c>
      <c r="E172" t="s">
        <v>224</v>
      </c>
      <c r="F172" t="s">
        <v>23</v>
      </c>
      <c r="G172" s="91">
        <v>100</v>
      </c>
      <c r="H172" s="91"/>
      <c r="I172" s="91">
        <v>350</v>
      </c>
      <c r="J172" s="91">
        <v>35000</v>
      </c>
    </row>
    <row r="173" spans="1:10">
      <c r="A173" t="s">
        <v>137</v>
      </c>
      <c r="B173" t="s">
        <v>138</v>
      </c>
      <c r="C173" t="s">
        <v>20</v>
      </c>
      <c r="D173" t="s">
        <v>147</v>
      </c>
      <c r="E173" t="s">
        <v>225</v>
      </c>
      <c r="F173" t="s">
        <v>23</v>
      </c>
      <c r="G173" s="91">
        <v>200</v>
      </c>
      <c r="H173" s="91"/>
      <c r="I173" s="91">
        <v>250</v>
      </c>
      <c r="J173" s="91">
        <v>50000</v>
      </c>
    </row>
    <row r="174" spans="1:10">
      <c r="A174" t="s">
        <v>137</v>
      </c>
      <c r="B174" t="s">
        <v>138</v>
      </c>
      <c r="C174" t="s">
        <v>20</v>
      </c>
      <c r="D174" t="s">
        <v>147</v>
      </c>
      <c r="E174" t="s">
        <v>226</v>
      </c>
      <c r="F174" t="s">
        <v>23</v>
      </c>
      <c r="G174" s="91">
        <v>30</v>
      </c>
      <c r="H174" s="91"/>
      <c r="I174" s="91">
        <v>200</v>
      </c>
      <c r="J174" s="91">
        <v>6000</v>
      </c>
    </row>
    <row r="175" spans="1:10">
      <c r="A175" t="s">
        <v>137</v>
      </c>
      <c r="B175" t="s">
        <v>138</v>
      </c>
      <c r="C175" t="s">
        <v>20</v>
      </c>
      <c r="D175" t="s">
        <v>147</v>
      </c>
      <c r="E175" t="s">
        <v>227</v>
      </c>
      <c r="F175" t="s">
        <v>23</v>
      </c>
      <c r="G175" s="91">
        <v>25</v>
      </c>
      <c r="H175" s="91"/>
      <c r="I175" s="91">
        <v>750</v>
      </c>
      <c r="J175" s="91">
        <v>18750</v>
      </c>
    </row>
    <row r="176" spans="1:10">
      <c r="A176" t="s">
        <v>137</v>
      </c>
      <c r="B176" t="s">
        <v>138</v>
      </c>
      <c r="C176" t="s">
        <v>20</v>
      </c>
      <c r="D176" t="s">
        <v>147</v>
      </c>
      <c r="E176" t="s">
        <v>228</v>
      </c>
      <c r="F176" t="s">
        <v>23</v>
      </c>
      <c r="G176" s="91">
        <v>30</v>
      </c>
      <c r="H176" s="91"/>
      <c r="I176" s="91">
        <v>250</v>
      </c>
      <c r="J176" s="91">
        <v>7500</v>
      </c>
    </row>
    <row r="177" spans="1:10">
      <c r="A177" t="s">
        <v>137</v>
      </c>
      <c r="B177" t="s">
        <v>138</v>
      </c>
      <c r="C177" t="s">
        <v>20</v>
      </c>
      <c r="D177" t="s">
        <v>147</v>
      </c>
      <c r="E177" t="s">
        <v>229</v>
      </c>
      <c r="F177" t="s">
        <v>23</v>
      </c>
      <c r="G177" s="91">
        <v>10</v>
      </c>
      <c r="H177" s="91"/>
      <c r="I177" s="91">
        <v>810</v>
      </c>
      <c r="J177" s="91">
        <v>8100</v>
      </c>
    </row>
    <row r="178" spans="1:10">
      <c r="A178" t="s">
        <v>137</v>
      </c>
      <c r="B178" t="s">
        <v>138</v>
      </c>
      <c r="C178" t="s">
        <v>20</v>
      </c>
      <c r="D178" t="s">
        <v>147</v>
      </c>
      <c r="E178" t="s">
        <v>230</v>
      </c>
      <c r="F178" t="s">
        <v>23</v>
      </c>
      <c r="G178" s="91">
        <v>5</v>
      </c>
      <c r="H178" s="91"/>
      <c r="I178" s="91">
        <v>350</v>
      </c>
      <c r="J178" s="91">
        <v>1750</v>
      </c>
    </row>
    <row r="179" spans="1:10">
      <c r="A179" t="s">
        <v>137</v>
      </c>
      <c r="B179" t="s">
        <v>138</v>
      </c>
      <c r="C179" t="s">
        <v>20</v>
      </c>
      <c r="D179" t="s">
        <v>147</v>
      </c>
      <c r="E179" t="s">
        <v>231</v>
      </c>
      <c r="F179" t="s">
        <v>23</v>
      </c>
      <c r="G179" s="91">
        <v>5</v>
      </c>
      <c r="H179" s="91"/>
      <c r="I179" s="91">
        <v>450</v>
      </c>
      <c r="J179" s="91">
        <v>2250</v>
      </c>
    </row>
    <row r="180" spans="1:10">
      <c r="A180" t="s">
        <v>137</v>
      </c>
      <c r="B180" t="s">
        <v>138</v>
      </c>
      <c r="C180" t="s">
        <v>20</v>
      </c>
      <c r="D180" t="s">
        <v>147</v>
      </c>
      <c r="E180" t="s">
        <v>232</v>
      </c>
      <c r="F180" t="s">
        <v>23</v>
      </c>
      <c r="G180" s="91">
        <v>100</v>
      </c>
      <c r="H180" s="91"/>
      <c r="I180" s="91">
        <v>6</v>
      </c>
      <c r="J180" s="91">
        <v>600</v>
      </c>
    </row>
    <row r="181" spans="1:10">
      <c r="A181" t="s">
        <v>137</v>
      </c>
      <c r="B181" t="s">
        <v>138</v>
      </c>
      <c r="C181" t="s">
        <v>20</v>
      </c>
      <c r="D181" t="s">
        <v>147</v>
      </c>
      <c r="E181" t="s">
        <v>233</v>
      </c>
      <c r="F181" t="s">
        <v>23</v>
      </c>
      <c r="G181" s="91">
        <v>10</v>
      </c>
      <c r="H181" s="91"/>
      <c r="I181" s="91">
        <v>75</v>
      </c>
      <c r="J181" s="91">
        <v>750</v>
      </c>
    </row>
    <row r="182" spans="1:10">
      <c r="A182" t="s">
        <v>137</v>
      </c>
      <c r="B182" t="s">
        <v>138</v>
      </c>
      <c r="C182" t="s">
        <v>20</v>
      </c>
      <c r="D182" t="s">
        <v>147</v>
      </c>
      <c r="E182" t="s">
        <v>234</v>
      </c>
      <c r="F182" t="s">
        <v>23</v>
      </c>
      <c r="G182" s="91">
        <v>250</v>
      </c>
      <c r="H182" s="91"/>
      <c r="I182" s="91">
        <v>113.05</v>
      </c>
      <c r="J182" s="91">
        <v>28262.5</v>
      </c>
    </row>
    <row r="183" spans="1:10">
      <c r="A183" t="s">
        <v>137</v>
      </c>
      <c r="B183" t="s">
        <v>138</v>
      </c>
      <c r="C183" t="s">
        <v>20</v>
      </c>
      <c r="D183" t="s">
        <v>147</v>
      </c>
      <c r="E183" t="s">
        <v>235</v>
      </c>
      <c r="F183" t="s">
        <v>23</v>
      </c>
      <c r="G183" s="91">
        <v>10</v>
      </c>
      <c r="H183" s="91"/>
      <c r="I183" s="91">
        <v>8</v>
      </c>
      <c r="J183" s="91">
        <v>80</v>
      </c>
    </row>
    <row r="184" spans="1:10">
      <c r="A184" t="s">
        <v>137</v>
      </c>
      <c r="B184" t="s">
        <v>138</v>
      </c>
      <c r="C184" t="s">
        <v>20</v>
      </c>
      <c r="D184" t="s">
        <v>147</v>
      </c>
      <c r="E184" t="s">
        <v>236</v>
      </c>
      <c r="F184" t="s">
        <v>23</v>
      </c>
      <c r="G184" s="91">
        <v>80</v>
      </c>
      <c r="H184" s="91"/>
      <c r="I184" s="91">
        <v>75</v>
      </c>
      <c r="J184" s="91">
        <v>6000</v>
      </c>
    </row>
    <row r="185" spans="1:10">
      <c r="A185" t="s">
        <v>137</v>
      </c>
      <c r="B185" t="s">
        <v>138</v>
      </c>
      <c r="C185" t="s">
        <v>20</v>
      </c>
      <c r="D185" t="s">
        <v>147</v>
      </c>
      <c r="E185" t="s">
        <v>237</v>
      </c>
      <c r="F185" t="s">
        <v>42</v>
      </c>
      <c r="G185" s="91">
        <v>1500</v>
      </c>
      <c r="H185" s="91"/>
      <c r="I185" s="91">
        <v>40.57</v>
      </c>
      <c r="J185" s="91">
        <v>60855</v>
      </c>
    </row>
    <row r="186" spans="1:10">
      <c r="A186" t="s">
        <v>137</v>
      </c>
      <c r="B186" t="s">
        <v>138</v>
      </c>
      <c r="C186" t="s">
        <v>20</v>
      </c>
      <c r="D186" t="s">
        <v>147</v>
      </c>
      <c r="E186" t="s">
        <v>238</v>
      </c>
      <c r="F186" t="s">
        <v>42</v>
      </c>
      <c r="G186" s="91">
        <v>600</v>
      </c>
      <c r="H186" s="91"/>
      <c r="I186" s="91">
        <v>6</v>
      </c>
      <c r="J186" s="91">
        <v>3600</v>
      </c>
    </row>
    <row r="187" spans="1:10">
      <c r="A187" t="s">
        <v>137</v>
      </c>
      <c r="B187" t="s">
        <v>138</v>
      </c>
      <c r="C187" t="s">
        <v>20</v>
      </c>
      <c r="D187" t="s">
        <v>147</v>
      </c>
      <c r="E187" t="s">
        <v>239</v>
      </c>
      <c r="F187" t="s">
        <v>42</v>
      </c>
      <c r="G187" s="91">
        <v>200</v>
      </c>
      <c r="H187" s="91"/>
      <c r="I187" s="91">
        <v>30</v>
      </c>
      <c r="J187" s="91">
        <v>6000</v>
      </c>
    </row>
    <row r="188" spans="1:10">
      <c r="A188" t="s">
        <v>137</v>
      </c>
      <c r="B188" t="s">
        <v>138</v>
      </c>
      <c r="C188" t="s">
        <v>20</v>
      </c>
      <c r="D188" t="s">
        <v>147</v>
      </c>
      <c r="E188" t="s">
        <v>240</v>
      </c>
      <c r="F188" t="s">
        <v>23</v>
      </c>
      <c r="G188" s="91">
        <v>15</v>
      </c>
      <c r="H188" s="91"/>
      <c r="I188" s="91">
        <v>32.5</v>
      </c>
      <c r="J188" s="91">
        <v>487.5</v>
      </c>
    </row>
    <row r="189" spans="1:10">
      <c r="A189" t="s">
        <v>137</v>
      </c>
      <c r="B189" t="s">
        <v>138</v>
      </c>
      <c r="C189" t="s">
        <v>20</v>
      </c>
      <c r="D189" t="s">
        <v>147</v>
      </c>
      <c r="E189" t="s">
        <v>241</v>
      </c>
      <c r="F189" t="s">
        <v>23</v>
      </c>
      <c r="G189" s="91">
        <v>100</v>
      </c>
      <c r="H189" s="91"/>
      <c r="I189" s="91">
        <v>250</v>
      </c>
      <c r="J189" s="91">
        <v>25000</v>
      </c>
    </row>
    <row r="190" spans="1:10">
      <c r="A190" t="s">
        <v>137</v>
      </c>
      <c r="B190" t="s">
        <v>138</v>
      </c>
      <c r="C190" t="s">
        <v>20</v>
      </c>
      <c r="D190" t="s">
        <v>147</v>
      </c>
      <c r="E190" t="s">
        <v>242</v>
      </c>
      <c r="F190" t="s">
        <v>23</v>
      </c>
      <c r="G190" s="91">
        <v>50</v>
      </c>
      <c r="H190" s="91"/>
      <c r="I190" s="91">
        <v>1241.76</v>
      </c>
      <c r="J190" s="91">
        <v>62088</v>
      </c>
    </row>
    <row r="191" spans="1:10">
      <c r="A191" t="s">
        <v>137</v>
      </c>
      <c r="B191" t="s">
        <v>138</v>
      </c>
      <c r="C191" t="s">
        <v>20</v>
      </c>
      <c r="D191" t="s">
        <v>147</v>
      </c>
      <c r="E191" t="s">
        <v>243</v>
      </c>
      <c r="F191" t="s">
        <v>23</v>
      </c>
      <c r="G191" s="91">
        <v>50</v>
      </c>
      <c r="H191" s="91"/>
      <c r="I191" s="91">
        <v>1664.52</v>
      </c>
      <c r="J191" s="91">
        <v>83226</v>
      </c>
    </row>
    <row r="192" spans="1:10">
      <c r="A192" t="s">
        <v>137</v>
      </c>
      <c r="B192" t="s">
        <v>138</v>
      </c>
      <c r="C192" t="s">
        <v>20</v>
      </c>
      <c r="D192" t="s">
        <v>147</v>
      </c>
      <c r="E192" t="s">
        <v>244</v>
      </c>
      <c r="F192" t="s">
        <v>23</v>
      </c>
      <c r="G192" s="91">
        <v>5</v>
      </c>
      <c r="H192" s="91"/>
      <c r="I192" s="91">
        <v>1664</v>
      </c>
      <c r="J192" s="91">
        <v>8320</v>
      </c>
    </row>
    <row r="193" spans="1:10">
      <c r="A193" t="s">
        <v>137</v>
      </c>
      <c r="B193" t="s">
        <v>138</v>
      </c>
      <c r="C193" t="s">
        <v>20</v>
      </c>
      <c r="D193" t="s">
        <v>147</v>
      </c>
      <c r="E193" t="s">
        <v>245</v>
      </c>
      <c r="F193" t="s">
        <v>23</v>
      </c>
      <c r="G193" s="91">
        <v>15</v>
      </c>
      <c r="H193" s="91"/>
      <c r="I193" s="91">
        <v>2000</v>
      </c>
      <c r="J193" s="91">
        <v>30000</v>
      </c>
    </row>
    <row r="194" spans="1:10">
      <c r="A194" t="s">
        <v>137</v>
      </c>
      <c r="B194" t="s">
        <v>138</v>
      </c>
      <c r="C194" t="s">
        <v>20</v>
      </c>
      <c r="D194" t="s">
        <v>147</v>
      </c>
      <c r="E194" t="s">
        <v>246</v>
      </c>
      <c r="F194" t="s">
        <v>100</v>
      </c>
      <c r="G194" s="91">
        <v>600</v>
      </c>
      <c r="H194" s="91"/>
      <c r="I194" s="91">
        <v>60</v>
      </c>
      <c r="J194" s="91">
        <v>36000</v>
      </c>
    </row>
    <row r="195" spans="1:10">
      <c r="A195" t="s">
        <v>137</v>
      </c>
      <c r="B195" t="s">
        <v>138</v>
      </c>
      <c r="C195" t="s">
        <v>20</v>
      </c>
      <c r="D195" t="s">
        <v>147</v>
      </c>
      <c r="E195" t="s">
        <v>247</v>
      </c>
      <c r="F195" t="s">
        <v>100</v>
      </c>
      <c r="G195" s="91">
        <v>300</v>
      </c>
      <c r="H195" s="91"/>
      <c r="I195" s="91">
        <v>90</v>
      </c>
      <c r="J195" s="91">
        <v>27000</v>
      </c>
    </row>
    <row r="196" spans="1:10">
      <c r="A196" t="s">
        <v>137</v>
      </c>
      <c r="B196" t="s">
        <v>138</v>
      </c>
      <c r="C196" t="s">
        <v>20</v>
      </c>
      <c r="D196" t="s">
        <v>147</v>
      </c>
      <c r="E196" t="s">
        <v>248</v>
      </c>
      <c r="F196" t="s">
        <v>42</v>
      </c>
      <c r="G196" s="91">
        <v>150</v>
      </c>
      <c r="H196" s="91"/>
      <c r="I196" s="91">
        <v>70</v>
      </c>
      <c r="J196" s="91">
        <v>10500</v>
      </c>
    </row>
    <row r="197" spans="1:10">
      <c r="A197" t="s">
        <v>137</v>
      </c>
      <c r="B197" t="s">
        <v>138</v>
      </c>
      <c r="C197" t="s">
        <v>20</v>
      </c>
      <c r="D197" t="s">
        <v>147</v>
      </c>
      <c r="E197" t="s">
        <v>249</v>
      </c>
      <c r="F197" t="s">
        <v>23</v>
      </c>
      <c r="G197" s="91">
        <v>1000</v>
      </c>
      <c r="H197" s="91"/>
      <c r="I197" s="91">
        <v>28.05</v>
      </c>
      <c r="J197" s="91">
        <v>28050</v>
      </c>
    </row>
    <row r="198" spans="1:10">
      <c r="A198" t="s">
        <v>137</v>
      </c>
      <c r="B198" t="s">
        <v>138</v>
      </c>
      <c r="C198" t="s">
        <v>20</v>
      </c>
      <c r="D198" t="s">
        <v>147</v>
      </c>
      <c r="E198" t="s">
        <v>250</v>
      </c>
      <c r="F198" t="s">
        <v>23</v>
      </c>
      <c r="G198" s="91">
        <v>30</v>
      </c>
      <c r="H198" s="91"/>
      <c r="I198" s="91">
        <v>6000</v>
      </c>
      <c r="J198" s="91">
        <v>180000</v>
      </c>
    </row>
    <row r="199" spans="1:10">
      <c r="A199" t="s">
        <v>137</v>
      </c>
      <c r="B199" t="s">
        <v>138</v>
      </c>
      <c r="C199" t="s">
        <v>20</v>
      </c>
      <c r="D199" t="s">
        <v>147</v>
      </c>
      <c r="E199" t="s">
        <v>251</v>
      </c>
      <c r="F199" t="s">
        <v>23</v>
      </c>
      <c r="G199" s="91">
        <v>20</v>
      </c>
      <c r="H199" s="91"/>
      <c r="I199" s="91">
        <v>57</v>
      </c>
      <c r="J199" s="91">
        <v>1140</v>
      </c>
    </row>
    <row r="200" spans="1:10">
      <c r="A200" t="s">
        <v>137</v>
      </c>
      <c r="B200" t="s">
        <v>138</v>
      </c>
      <c r="C200" t="s">
        <v>20</v>
      </c>
      <c r="D200" t="s">
        <v>147</v>
      </c>
      <c r="E200" t="s">
        <v>252</v>
      </c>
      <c r="F200" t="s">
        <v>23</v>
      </c>
      <c r="G200" s="91">
        <v>20</v>
      </c>
      <c r="H200" s="91"/>
      <c r="I200" s="91">
        <v>70</v>
      </c>
      <c r="J200" s="91">
        <v>1400</v>
      </c>
    </row>
    <row r="201" spans="1:10">
      <c r="A201" t="s">
        <v>137</v>
      </c>
      <c r="B201" t="s">
        <v>138</v>
      </c>
      <c r="C201" t="s">
        <v>20</v>
      </c>
      <c r="D201" t="s">
        <v>147</v>
      </c>
      <c r="E201" t="s">
        <v>253</v>
      </c>
      <c r="F201" t="s">
        <v>23</v>
      </c>
      <c r="G201" s="91">
        <v>20</v>
      </c>
      <c r="H201" s="91"/>
      <c r="I201" s="91">
        <v>84</v>
      </c>
      <c r="J201" s="91">
        <v>1680</v>
      </c>
    </row>
    <row r="202" spans="1:10">
      <c r="A202" t="s">
        <v>137</v>
      </c>
      <c r="B202" t="s">
        <v>138</v>
      </c>
      <c r="C202" t="s">
        <v>20</v>
      </c>
      <c r="D202" t="s">
        <v>147</v>
      </c>
      <c r="E202" t="s">
        <v>254</v>
      </c>
      <c r="F202" t="s">
        <v>23</v>
      </c>
      <c r="G202" s="91">
        <v>30</v>
      </c>
      <c r="H202" s="91"/>
      <c r="I202" s="91">
        <v>106</v>
      </c>
      <c r="J202" s="91">
        <v>3180</v>
      </c>
    </row>
    <row r="203" spans="1:10">
      <c r="A203" t="s">
        <v>137</v>
      </c>
      <c r="B203" t="s">
        <v>138</v>
      </c>
      <c r="C203" t="s">
        <v>20</v>
      </c>
      <c r="D203" t="s">
        <v>147</v>
      </c>
      <c r="E203" t="s">
        <v>255</v>
      </c>
      <c r="F203" t="s">
        <v>23</v>
      </c>
      <c r="G203" s="91">
        <v>30</v>
      </c>
      <c r="H203" s="91"/>
      <c r="I203" s="91">
        <v>121</v>
      </c>
      <c r="J203" s="91">
        <v>3630</v>
      </c>
    </row>
    <row r="204" spans="1:10">
      <c r="A204" t="s">
        <v>137</v>
      </c>
      <c r="B204" t="s">
        <v>138</v>
      </c>
      <c r="C204" t="s">
        <v>20</v>
      </c>
      <c r="D204" t="s">
        <v>147</v>
      </c>
      <c r="E204" t="s">
        <v>256</v>
      </c>
      <c r="F204" t="s">
        <v>23</v>
      </c>
      <c r="G204" s="91">
        <v>10</v>
      </c>
      <c r="H204" s="91"/>
      <c r="I204" s="91">
        <v>130</v>
      </c>
      <c r="J204" s="91">
        <v>1300</v>
      </c>
    </row>
    <row r="205" spans="1:10">
      <c r="A205" t="s">
        <v>137</v>
      </c>
      <c r="B205" t="s">
        <v>138</v>
      </c>
      <c r="C205" t="s">
        <v>20</v>
      </c>
      <c r="D205" t="s">
        <v>147</v>
      </c>
      <c r="E205" t="s">
        <v>257</v>
      </c>
      <c r="F205" t="s">
        <v>23</v>
      </c>
      <c r="G205" s="91">
        <v>10</v>
      </c>
      <c r="H205" s="91"/>
      <c r="I205" s="91">
        <v>130</v>
      </c>
      <c r="J205" s="91">
        <v>1300</v>
      </c>
    </row>
    <row r="206" spans="1:10">
      <c r="A206" t="s">
        <v>137</v>
      </c>
      <c r="B206" t="s">
        <v>138</v>
      </c>
      <c r="C206" t="s">
        <v>20</v>
      </c>
      <c r="D206" t="s">
        <v>147</v>
      </c>
      <c r="E206" t="s">
        <v>258</v>
      </c>
      <c r="F206" t="s">
        <v>23</v>
      </c>
      <c r="G206" s="91">
        <v>2</v>
      </c>
      <c r="H206" s="91"/>
      <c r="I206" s="91">
        <v>45</v>
      </c>
      <c r="J206" s="91">
        <v>90</v>
      </c>
    </row>
    <row r="207" spans="1:10">
      <c r="A207" t="s">
        <v>137</v>
      </c>
      <c r="B207" t="s">
        <v>138</v>
      </c>
      <c r="C207" t="s">
        <v>20</v>
      </c>
      <c r="D207" t="s">
        <v>147</v>
      </c>
      <c r="E207" t="s">
        <v>259</v>
      </c>
      <c r="F207" t="s">
        <v>23</v>
      </c>
      <c r="G207" s="91">
        <v>1</v>
      </c>
      <c r="H207" s="91"/>
      <c r="I207" s="91">
        <v>5000</v>
      </c>
      <c r="J207" s="91">
        <v>5000</v>
      </c>
    </row>
    <row r="208" spans="1:10">
      <c r="A208" t="s">
        <v>137</v>
      </c>
      <c r="B208" t="s">
        <v>138</v>
      </c>
      <c r="C208" t="s">
        <v>20</v>
      </c>
      <c r="D208" t="s">
        <v>147</v>
      </c>
      <c r="E208" t="s">
        <v>260</v>
      </c>
      <c r="F208" t="s">
        <v>23</v>
      </c>
      <c r="G208" s="91">
        <v>1</v>
      </c>
      <c r="H208" s="91"/>
      <c r="I208" s="91">
        <v>2500</v>
      </c>
      <c r="J208" s="91">
        <v>2500</v>
      </c>
    </row>
    <row r="209" spans="1:10">
      <c r="A209" t="s">
        <v>137</v>
      </c>
      <c r="B209" t="s">
        <v>138</v>
      </c>
      <c r="C209" t="s">
        <v>20</v>
      </c>
      <c r="D209" t="s">
        <v>147</v>
      </c>
      <c r="E209" t="s">
        <v>261</v>
      </c>
      <c r="F209" t="s">
        <v>23</v>
      </c>
      <c r="G209" s="91">
        <v>1000</v>
      </c>
      <c r="H209" s="91"/>
      <c r="I209" s="91">
        <v>17.05</v>
      </c>
      <c r="J209" s="91">
        <v>17050</v>
      </c>
    </row>
    <row r="210" spans="1:10">
      <c r="A210" t="s">
        <v>137</v>
      </c>
      <c r="B210" t="s">
        <v>138</v>
      </c>
      <c r="C210" t="s">
        <v>20</v>
      </c>
      <c r="D210" t="s">
        <v>147</v>
      </c>
      <c r="E210" t="s">
        <v>262</v>
      </c>
      <c r="F210" t="s">
        <v>23</v>
      </c>
      <c r="G210" s="91">
        <v>20</v>
      </c>
      <c r="H210" s="91"/>
      <c r="I210" s="91">
        <v>70</v>
      </c>
      <c r="J210" s="91">
        <v>1400</v>
      </c>
    </row>
    <row r="211" spans="1:10">
      <c r="A211" t="s">
        <v>137</v>
      </c>
      <c r="B211" t="s">
        <v>138</v>
      </c>
      <c r="C211" t="s">
        <v>20</v>
      </c>
      <c r="D211" t="s">
        <v>147</v>
      </c>
      <c r="E211" t="s">
        <v>263</v>
      </c>
      <c r="F211" t="s">
        <v>23</v>
      </c>
      <c r="G211" s="91">
        <v>6</v>
      </c>
      <c r="H211" s="91"/>
      <c r="I211" s="91">
        <v>6000</v>
      </c>
      <c r="J211" s="91">
        <v>36000</v>
      </c>
    </row>
    <row r="212" spans="1:10">
      <c r="A212" t="s">
        <v>137</v>
      </c>
      <c r="B212" t="s">
        <v>138</v>
      </c>
      <c r="C212" t="s">
        <v>20</v>
      </c>
      <c r="D212" t="s">
        <v>147</v>
      </c>
      <c r="E212" t="s">
        <v>264</v>
      </c>
      <c r="F212" t="s">
        <v>23</v>
      </c>
      <c r="G212" s="91">
        <v>50</v>
      </c>
      <c r="H212" s="91"/>
      <c r="I212" s="91">
        <v>70</v>
      </c>
      <c r="J212" s="91">
        <v>3500</v>
      </c>
    </row>
    <row r="213" spans="1:10">
      <c r="A213" t="s">
        <v>137</v>
      </c>
      <c r="B213" t="s">
        <v>138</v>
      </c>
      <c r="C213" t="s">
        <v>20</v>
      </c>
      <c r="D213" t="s">
        <v>265</v>
      </c>
      <c r="E213" t="s">
        <v>266</v>
      </c>
      <c r="F213" t="s">
        <v>23</v>
      </c>
      <c r="G213" s="91">
        <v>1</v>
      </c>
      <c r="H213" s="91"/>
      <c r="I213" s="91">
        <v>70</v>
      </c>
      <c r="J213" s="91">
        <v>70</v>
      </c>
    </row>
    <row r="214" spans="1:10">
      <c r="A214" t="s">
        <v>137</v>
      </c>
      <c r="B214" t="s">
        <v>138</v>
      </c>
      <c r="C214" t="s">
        <v>20</v>
      </c>
      <c r="D214" t="s">
        <v>265</v>
      </c>
      <c r="E214" t="s">
        <v>267</v>
      </c>
      <c r="F214" t="s">
        <v>23</v>
      </c>
      <c r="G214" s="91">
        <v>1</v>
      </c>
      <c r="H214" s="91"/>
      <c r="I214" s="91">
        <v>220</v>
      </c>
      <c r="J214" s="91">
        <v>220</v>
      </c>
    </row>
    <row r="215" spans="1:10">
      <c r="A215" t="s">
        <v>137</v>
      </c>
      <c r="B215" t="s">
        <v>138</v>
      </c>
      <c r="C215" t="s">
        <v>20</v>
      </c>
      <c r="D215" t="s">
        <v>268</v>
      </c>
      <c r="E215" t="s">
        <v>269</v>
      </c>
      <c r="F215" t="s">
        <v>270</v>
      </c>
      <c r="G215" s="91">
        <v>10</v>
      </c>
      <c r="H215" s="91"/>
      <c r="I215" s="91">
        <v>700</v>
      </c>
      <c r="J215" s="91">
        <v>7000</v>
      </c>
    </row>
    <row r="216" spans="1:10">
      <c r="A216" t="s">
        <v>137</v>
      </c>
      <c r="B216" t="s">
        <v>138</v>
      </c>
      <c r="C216" t="s">
        <v>20</v>
      </c>
      <c r="D216" t="s">
        <v>271</v>
      </c>
      <c r="E216" t="s">
        <v>272</v>
      </c>
      <c r="F216" t="s">
        <v>23</v>
      </c>
      <c r="G216" s="91">
        <v>20</v>
      </c>
      <c r="H216" s="91"/>
      <c r="I216" s="91">
        <v>480</v>
      </c>
      <c r="J216" s="91">
        <v>9600</v>
      </c>
    </row>
    <row r="217" spans="1:10">
      <c r="A217" t="s">
        <v>273</v>
      </c>
      <c r="B217" t="s">
        <v>274</v>
      </c>
      <c r="C217" t="s">
        <v>20</v>
      </c>
      <c r="D217" t="s">
        <v>61</v>
      </c>
      <c r="E217" t="s">
        <v>275</v>
      </c>
      <c r="F217" t="s">
        <v>23</v>
      </c>
      <c r="G217" s="91">
        <v>20</v>
      </c>
      <c r="H217" s="91"/>
      <c r="I217" s="91">
        <v>100</v>
      </c>
      <c r="J217" s="91">
        <v>2000</v>
      </c>
    </row>
    <row r="218" spans="1:10">
      <c r="A218" t="s">
        <v>273</v>
      </c>
      <c r="B218" t="s">
        <v>274</v>
      </c>
      <c r="C218" t="s">
        <v>20</v>
      </c>
      <c r="D218" t="s">
        <v>276</v>
      </c>
      <c r="E218" t="s">
        <v>277</v>
      </c>
      <c r="F218" t="s">
        <v>23</v>
      </c>
      <c r="G218" s="91">
        <v>5</v>
      </c>
      <c r="H218" s="91"/>
      <c r="I218" s="91">
        <v>225</v>
      </c>
      <c r="J218" s="91">
        <v>1125</v>
      </c>
    </row>
    <row r="219" spans="1:10">
      <c r="A219" t="s">
        <v>273</v>
      </c>
      <c r="B219" t="s">
        <v>274</v>
      </c>
      <c r="C219" t="s">
        <v>20</v>
      </c>
      <c r="D219" t="s">
        <v>276</v>
      </c>
      <c r="E219" t="s">
        <v>278</v>
      </c>
      <c r="F219" t="s">
        <v>23</v>
      </c>
      <c r="G219" s="91">
        <v>50</v>
      </c>
      <c r="H219" s="91"/>
      <c r="I219" s="91">
        <v>50</v>
      </c>
      <c r="J219" s="91">
        <v>2500</v>
      </c>
    </row>
    <row r="220" spans="1:10">
      <c r="A220" t="s">
        <v>273</v>
      </c>
      <c r="B220" t="s">
        <v>274</v>
      </c>
      <c r="C220" t="s">
        <v>20</v>
      </c>
      <c r="D220" t="s">
        <v>276</v>
      </c>
      <c r="E220" t="s">
        <v>279</v>
      </c>
      <c r="F220" t="s">
        <v>23</v>
      </c>
      <c r="G220" s="91">
        <v>10</v>
      </c>
      <c r="H220" s="91"/>
      <c r="I220" s="91">
        <v>500</v>
      </c>
      <c r="J220" s="91">
        <v>5000</v>
      </c>
    </row>
    <row r="221" spans="1:10">
      <c r="A221" t="s">
        <v>273</v>
      </c>
      <c r="B221" t="s">
        <v>274</v>
      </c>
      <c r="C221" t="s">
        <v>20</v>
      </c>
      <c r="D221" t="s">
        <v>276</v>
      </c>
      <c r="E221" t="s">
        <v>280</v>
      </c>
      <c r="F221" t="s">
        <v>23</v>
      </c>
      <c r="G221" s="91">
        <v>40</v>
      </c>
      <c r="H221" s="91"/>
      <c r="I221" s="91">
        <v>20</v>
      </c>
      <c r="J221" s="91">
        <v>800</v>
      </c>
    </row>
    <row r="222" spans="1:10">
      <c r="A222" t="s">
        <v>273</v>
      </c>
      <c r="B222" t="s">
        <v>274</v>
      </c>
      <c r="C222" t="s">
        <v>20</v>
      </c>
      <c r="D222" t="s">
        <v>276</v>
      </c>
      <c r="E222" t="s">
        <v>281</v>
      </c>
      <c r="F222" t="s">
        <v>23</v>
      </c>
      <c r="G222" s="91">
        <v>30</v>
      </c>
      <c r="H222" s="91"/>
      <c r="I222" s="91">
        <v>70</v>
      </c>
      <c r="J222" s="91">
        <v>2100</v>
      </c>
    </row>
    <row r="223" spans="1:10">
      <c r="A223" t="s">
        <v>273</v>
      </c>
      <c r="B223" t="s">
        <v>274</v>
      </c>
      <c r="C223" t="s">
        <v>20</v>
      </c>
      <c r="D223" t="s">
        <v>276</v>
      </c>
      <c r="E223" t="s">
        <v>282</v>
      </c>
      <c r="F223" t="s">
        <v>23</v>
      </c>
      <c r="G223" s="91">
        <v>30</v>
      </c>
      <c r="H223" s="91"/>
      <c r="I223" s="91">
        <v>80</v>
      </c>
      <c r="J223" s="91">
        <v>2400</v>
      </c>
    </row>
    <row r="224" spans="1:10">
      <c r="A224" t="s">
        <v>273</v>
      </c>
      <c r="B224" t="s">
        <v>274</v>
      </c>
      <c r="C224" t="s">
        <v>20</v>
      </c>
      <c r="D224" t="s">
        <v>276</v>
      </c>
      <c r="E224" t="s">
        <v>283</v>
      </c>
      <c r="F224" t="s">
        <v>23</v>
      </c>
      <c r="G224" s="91">
        <v>10</v>
      </c>
      <c r="H224" s="91"/>
      <c r="I224" s="91">
        <v>5</v>
      </c>
      <c r="J224" s="91">
        <v>50</v>
      </c>
    </row>
    <row r="225" spans="1:10">
      <c r="A225" t="s">
        <v>273</v>
      </c>
      <c r="B225" t="s">
        <v>274</v>
      </c>
      <c r="C225" t="s">
        <v>20</v>
      </c>
      <c r="D225" t="s">
        <v>276</v>
      </c>
      <c r="E225" t="s">
        <v>284</v>
      </c>
      <c r="F225" t="s">
        <v>23</v>
      </c>
      <c r="G225" s="91">
        <v>100</v>
      </c>
      <c r="H225" s="91"/>
      <c r="I225" s="91">
        <v>10</v>
      </c>
      <c r="J225" s="91">
        <v>1000</v>
      </c>
    </row>
    <row r="226" spans="1:10">
      <c r="A226" t="s">
        <v>273</v>
      </c>
      <c r="B226" t="s">
        <v>274</v>
      </c>
      <c r="C226" t="s">
        <v>20</v>
      </c>
      <c r="D226" t="s">
        <v>276</v>
      </c>
      <c r="E226" t="s">
        <v>285</v>
      </c>
      <c r="F226" t="s">
        <v>23</v>
      </c>
      <c r="G226" s="91">
        <v>20</v>
      </c>
      <c r="H226" s="91"/>
      <c r="I226" s="91">
        <v>50</v>
      </c>
      <c r="J226" s="91">
        <v>1000</v>
      </c>
    </row>
    <row r="227" spans="1:10">
      <c r="A227" t="s">
        <v>273</v>
      </c>
      <c r="B227" t="s">
        <v>274</v>
      </c>
      <c r="C227" t="s">
        <v>20</v>
      </c>
      <c r="D227" t="s">
        <v>276</v>
      </c>
      <c r="E227" t="s">
        <v>286</v>
      </c>
      <c r="F227" t="s">
        <v>23</v>
      </c>
      <c r="G227" s="91">
        <v>10</v>
      </c>
      <c r="H227" s="91"/>
      <c r="I227" s="91">
        <v>5</v>
      </c>
      <c r="J227" s="91">
        <v>50</v>
      </c>
    </row>
    <row r="228" spans="1:10">
      <c r="A228" t="s">
        <v>273</v>
      </c>
      <c r="B228" t="s">
        <v>274</v>
      </c>
      <c r="C228" t="s">
        <v>20</v>
      </c>
      <c r="D228" t="s">
        <v>276</v>
      </c>
      <c r="E228" t="s">
        <v>287</v>
      </c>
      <c r="F228" t="s">
        <v>23</v>
      </c>
      <c r="G228" s="91">
        <v>10</v>
      </c>
      <c r="H228" s="91"/>
      <c r="I228" s="91">
        <v>5</v>
      </c>
      <c r="J228" s="91">
        <v>50</v>
      </c>
    </row>
    <row r="229" spans="1:10">
      <c r="A229" t="s">
        <v>273</v>
      </c>
      <c r="B229" t="s">
        <v>274</v>
      </c>
      <c r="C229" t="s">
        <v>20</v>
      </c>
      <c r="D229" t="s">
        <v>276</v>
      </c>
      <c r="E229" t="s">
        <v>288</v>
      </c>
      <c r="F229" t="s">
        <v>42</v>
      </c>
      <c r="G229" s="91">
        <v>100</v>
      </c>
      <c r="H229" s="91"/>
      <c r="I229" s="91">
        <v>120</v>
      </c>
      <c r="J229" s="91">
        <v>12000</v>
      </c>
    </row>
    <row r="230" spans="1:10">
      <c r="A230" t="s">
        <v>273</v>
      </c>
      <c r="B230" t="s">
        <v>274</v>
      </c>
      <c r="C230" t="s">
        <v>20</v>
      </c>
      <c r="D230" t="s">
        <v>276</v>
      </c>
      <c r="E230" t="s">
        <v>289</v>
      </c>
      <c r="F230" t="s">
        <v>42</v>
      </c>
      <c r="G230" s="91">
        <v>100</v>
      </c>
      <c r="H230" s="91"/>
      <c r="I230" s="91">
        <v>250</v>
      </c>
      <c r="J230" s="91">
        <v>25000</v>
      </c>
    </row>
    <row r="231" spans="1:10">
      <c r="A231" t="s">
        <v>273</v>
      </c>
      <c r="B231" t="s">
        <v>274</v>
      </c>
      <c r="C231" t="s">
        <v>20</v>
      </c>
      <c r="D231" t="s">
        <v>276</v>
      </c>
      <c r="E231" t="s">
        <v>290</v>
      </c>
      <c r="F231" t="s">
        <v>42</v>
      </c>
      <c r="G231" s="91">
        <v>200</v>
      </c>
      <c r="H231" s="91"/>
      <c r="I231" s="91">
        <v>40</v>
      </c>
      <c r="J231" s="91">
        <v>8000</v>
      </c>
    </row>
    <row r="232" spans="1:10">
      <c r="A232" t="s">
        <v>273</v>
      </c>
      <c r="B232" t="s">
        <v>274</v>
      </c>
      <c r="C232" t="s">
        <v>20</v>
      </c>
      <c r="D232" t="s">
        <v>276</v>
      </c>
      <c r="E232" t="s">
        <v>291</v>
      </c>
      <c r="F232" t="s">
        <v>23</v>
      </c>
      <c r="G232" s="91">
        <v>10</v>
      </c>
      <c r="H232" s="91"/>
      <c r="I232" s="91">
        <v>150</v>
      </c>
      <c r="J232" s="91">
        <v>1500</v>
      </c>
    </row>
    <row r="233" spans="1:10">
      <c r="A233" t="s">
        <v>273</v>
      </c>
      <c r="B233" t="s">
        <v>274</v>
      </c>
      <c r="C233" t="s">
        <v>20</v>
      </c>
      <c r="D233" t="s">
        <v>276</v>
      </c>
      <c r="E233" t="s">
        <v>292</v>
      </c>
      <c r="F233" t="s">
        <v>23</v>
      </c>
      <c r="G233" s="91">
        <v>50</v>
      </c>
      <c r="H233" s="91"/>
      <c r="I233" s="91">
        <v>25</v>
      </c>
      <c r="J233" s="91">
        <v>1250</v>
      </c>
    </row>
    <row r="234" spans="1:10">
      <c r="A234" t="s">
        <v>273</v>
      </c>
      <c r="B234" t="s">
        <v>274</v>
      </c>
      <c r="C234" t="s">
        <v>20</v>
      </c>
      <c r="D234" t="s">
        <v>276</v>
      </c>
      <c r="E234" t="s">
        <v>293</v>
      </c>
      <c r="F234" t="s">
        <v>23</v>
      </c>
      <c r="G234" s="91">
        <v>50</v>
      </c>
      <c r="H234" s="91"/>
      <c r="I234" s="91">
        <v>25</v>
      </c>
      <c r="J234" s="91">
        <v>1250</v>
      </c>
    </row>
    <row r="235" spans="1:10">
      <c r="A235" t="s">
        <v>273</v>
      </c>
      <c r="B235" t="s">
        <v>274</v>
      </c>
      <c r="C235" t="s">
        <v>20</v>
      </c>
      <c r="D235" t="s">
        <v>276</v>
      </c>
      <c r="E235" t="s">
        <v>294</v>
      </c>
      <c r="F235" t="s">
        <v>23</v>
      </c>
      <c r="G235" s="91">
        <v>100</v>
      </c>
      <c r="H235" s="91"/>
      <c r="I235" s="91">
        <v>800</v>
      </c>
      <c r="J235" s="91">
        <v>80000</v>
      </c>
    </row>
    <row r="236" spans="1:10">
      <c r="A236" t="s">
        <v>273</v>
      </c>
      <c r="B236" t="s">
        <v>274</v>
      </c>
      <c r="C236" t="s">
        <v>20</v>
      </c>
      <c r="D236" t="s">
        <v>276</v>
      </c>
      <c r="E236" t="s">
        <v>295</v>
      </c>
      <c r="F236" t="s">
        <v>23</v>
      </c>
      <c r="G236" s="91">
        <v>10</v>
      </c>
      <c r="H236" s="91"/>
      <c r="I236" s="91">
        <v>100</v>
      </c>
      <c r="J236" s="91">
        <v>1000</v>
      </c>
    </row>
    <row r="237" spans="1:10">
      <c r="A237" t="s">
        <v>273</v>
      </c>
      <c r="B237" t="s">
        <v>274</v>
      </c>
      <c r="C237" t="s">
        <v>20</v>
      </c>
      <c r="D237" t="s">
        <v>276</v>
      </c>
      <c r="E237" t="s">
        <v>296</v>
      </c>
      <c r="F237" t="s">
        <v>23</v>
      </c>
      <c r="G237" s="91">
        <v>25</v>
      </c>
      <c r="H237" s="91"/>
      <c r="I237" s="91">
        <v>7</v>
      </c>
      <c r="J237" s="91">
        <v>175</v>
      </c>
    </row>
    <row r="238" spans="1:10">
      <c r="A238" t="s">
        <v>273</v>
      </c>
      <c r="B238" t="s">
        <v>274</v>
      </c>
      <c r="C238" t="s">
        <v>20</v>
      </c>
      <c r="D238" t="s">
        <v>276</v>
      </c>
      <c r="E238" t="s">
        <v>297</v>
      </c>
      <c r="F238" t="s">
        <v>23</v>
      </c>
      <c r="G238" s="91">
        <v>10</v>
      </c>
      <c r="H238" s="91"/>
      <c r="I238" s="91">
        <v>90</v>
      </c>
      <c r="J238" s="91">
        <v>900</v>
      </c>
    </row>
    <row r="239" spans="1:10">
      <c r="A239" t="s">
        <v>273</v>
      </c>
      <c r="B239" t="s">
        <v>274</v>
      </c>
      <c r="C239" t="s">
        <v>20</v>
      </c>
      <c r="D239" t="s">
        <v>276</v>
      </c>
      <c r="E239" t="s">
        <v>298</v>
      </c>
      <c r="F239" t="s">
        <v>23</v>
      </c>
      <c r="G239" s="91">
        <v>7</v>
      </c>
      <c r="H239" s="91"/>
      <c r="I239" s="91">
        <v>70</v>
      </c>
      <c r="J239" s="91">
        <v>490</v>
      </c>
    </row>
    <row r="240" spans="1:10">
      <c r="A240" t="s">
        <v>273</v>
      </c>
      <c r="B240" t="s">
        <v>274</v>
      </c>
      <c r="C240" t="s">
        <v>20</v>
      </c>
      <c r="D240" t="s">
        <v>276</v>
      </c>
      <c r="E240" t="s">
        <v>299</v>
      </c>
      <c r="F240" t="s">
        <v>23</v>
      </c>
      <c r="G240" s="91">
        <v>8</v>
      </c>
      <c r="H240" s="91"/>
      <c r="I240" s="91">
        <v>250</v>
      </c>
      <c r="J240" s="91">
        <v>2000</v>
      </c>
    </row>
    <row r="241" spans="1:10">
      <c r="A241" t="s">
        <v>273</v>
      </c>
      <c r="B241" t="s">
        <v>274</v>
      </c>
      <c r="C241" t="s">
        <v>20</v>
      </c>
      <c r="D241" t="s">
        <v>276</v>
      </c>
      <c r="E241" t="s">
        <v>300</v>
      </c>
      <c r="F241" t="s">
        <v>23</v>
      </c>
      <c r="G241" s="91">
        <v>60</v>
      </c>
      <c r="H241" s="91"/>
      <c r="I241" s="91">
        <v>100</v>
      </c>
      <c r="J241" s="91">
        <v>6000</v>
      </c>
    </row>
    <row r="242" spans="1:10">
      <c r="A242" t="s">
        <v>273</v>
      </c>
      <c r="B242" t="s">
        <v>274</v>
      </c>
      <c r="C242" t="s">
        <v>20</v>
      </c>
      <c r="D242" t="s">
        <v>276</v>
      </c>
      <c r="E242" t="s">
        <v>301</v>
      </c>
      <c r="F242" t="s">
        <v>23</v>
      </c>
      <c r="G242" s="91">
        <v>13</v>
      </c>
      <c r="H242" s="91"/>
      <c r="I242" s="91">
        <v>93</v>
      </c>
      <c r="J242" s="91">
        <v>1209</v>
      </c>
    </row>
    <row r="243" spans="1:10">
      <c r="A243" t="s">
        <v>273</v>
      </c>
      <c r="B243" t="s">
        <v>274</v>
      </c>
      <c r="C243" t="s">
        <v>20</v>
      </c>
      <c r="D243" t="s">
        <v>276</v>
      </c>
      <c r="E243" t="s">
        <v>302</v>
      </c>
      <c r="F243" t="s">
        <v>23</v>
      </c>
      <c r="G243" s="91">
        <v>50</v>
      </c>
      <c r="H243" s="91"/>
      <c r="I243" s="91">
        <v>48</v>
      </c>
      <c r="J243" s="91">
        <v>2400</v>
      </c>
    </row>
    <row r="244" spans="1:10">
      <c r="A244" t="s">
        <v>273</v>
      </c>
      <c r="B244" t="s">
        <v>274</v>
      </c>
      <c r="C244" t="s">
        <v>20</v>
      </c>
      <c r="D244" t="s">
        <v>276</v>
      </c>
      <c r="E244" t="s">
        <v>303</v>
      </c>
      <c r="F244" t="s">
        <v>23</v>
      </c>
      <c r="G244" s="91">
        <v>20</v>
      </c>
      <c r="H244" s="91"/>
      <c r="I244" s="91">
        <v>15</v>
      </c>
      <c r="J244" s="91">
        <v>300</v>
      </c>
    </row>
    <row r="245" spans="1:10">
      <c r="A245" t="s">
        <v>273</v>
      </c>
      <c r="B245" t="s">
        <v>274</v>
      </c>
      <c r="C245" t="s">
        <v>20</v>
      </c>
      <c r="D245" t="s">
        <v>276</v>
      </c>
      <c r="E245" t="s">
        <v>304</v>
      </c>
      <c r="F245" t="s">
        <v>23</v>
      </c>
      <c r="G245" s="91">
        <v>12</v>
      </c>
      <c r="H245" s="91"/>
      <c r="I245" s="91">
        <v>15</v>
      </c>
      <c r="J245" s="91">
        <v>180</v>
      </c>
    </row>
    <row r="246" spans="1:10">
      <c r="A246" t="s">
        <v>273</v>
      </c>
      <c r="B246" t="s">
        <v>274</v>
      </c>
      <c r="C246" t="s">
        <v>20</v>
      </c>
      <c r="D246" t="s">
        <v>276</v>
      </c>
      <c r="E246" t="s">
        <v>305</v>
      </c>
      <c r="F246" t="s">
        <v>23</v>
      </c>
      <c r="G246" s="91">
        <v>200</v>
      </c>
      <c r="H246" s="91"/>
      <c r="I246" s="91">
        <v>350</v>
      </c>
      <c r="J246" s="91">
        <v>70000</v>
      </c>
    </row>
    <row r="247" spans="1:10">
      <c r="A247" t="s">
        <v>273</v>
      </c>
      <c r="B247" t="s">
        <v>274</v>
      </c>
      <c r="C247" t="s">
        <v>20</v>
      </c>
      <c r="D247" t="s">
        <v>276</v>
      </c>
      <c r="E247" t="s">
        <v>306</v>
      </c>
      <c r="F247" t="s">
        <v>23</v>
      </c>
      <c r="G247" s="91">
        <v>50</v>
      </c>
      <c r="H247" s="91"/>
      <c r="I247" s="91">
        <v>500</v>
      </c>
      <c r="J247" s="91">
        <v>25000</v>
      </c>
    </row>
    <row r="248" spans="1:10">
      <c r="A248" t="s">
        <v>273</v>
      </c>
      <c r="B248" t="s">
        <v>274</v>
      </c>
      <c r="C248" t="s">
        <v>20</v>
      </c>
      <c r="D248" t="s">
        <v>276</v>
      </c>
      <c r="E248" t="s">
        <v>307</v>
      </c>
      <c r="F248" t="s">
        <v>42</v>
      </c>
      <c r="G248" s="91">
        <v>40</v>
      </c>
      <c r="H248" s="91"/>
      <c r="I248" s="91">
        <v>41</v>
      </c>
      <c r="J248" s="91">
        <v>1640</v>
      </c>
    </row>
    <row r="249" spans="1:10">
      <c r="A249" t="s">
        <v>273</v>
      </c>
      <c r="B249" t="s">
        <v>274</v>
      </c>
      <c r="C249" t="s">
        <v>20</v>
      </c>
      <c r="D249" t="s">
        <v>276</v>
      </c>
      <c r="E249" t="s">
        <v>308</v>
      </c>
      <c r="F249" t="s">
        <v>42</v>
      </c>
      <c r="G249" s="91">
        <v>300</v>
      </c>
      <c r="H249" s="91"/>
      <c r="I249" s="91">
        <v>110</v>
      </c>
      <c r="J249" s="91">
        <v>33000</v>
      </c>
    </row>
    <row r="250" spans="1:10">
      <c r="A250" t="s">
        <v>273</v>
      </c>
      <c r="B250" t="s">
        <v>274</v>
      </c>
      <c r="C250" t="s">
        <v>20</v>
      </c>
      <c r="D250" t="s">
        <v>276</v>
      </c>
      <c r="E250" t="s">
        <v>309</v>
      </c>
      <c r="F250" t="s">
        <v>42</v>
      </c>
      <c r="G250" s="91">
        <v>500</v>
      </c>
      <c r="H250" s="91"/>
      <c r="I250" s="91">
        <v>264</v>
      </c>
      <c r="J250" s="91">
        <v>132000</v>
      </c>
    </row>
    <row r="251" spans="1:10">
      <c r="A251" t="s">
        <v>273</v>
      </c>
      <c r="B251" t="s">
        <v>274</v>
      </c>
      <c r="C251" t="s">
        <v>20</v>
      </c>
      <c r="D251" t="s">
        <v>276</v>
      </c>
      <c r="E251" t="s">
        <v>310</v>
      </c>
      <c r="F251" t="s">
        <v>23</v>
      </c>
      <c r="G251" s="91">
        <v>50</v>
      </c>
      <c r="H251" s="91"/>
      <c r="I251" s="91">
        <v>63</v>
      </c>
      <c r="J251" s="91">
        <v>3150</v>
      </c>
    </row>
    <row r="252" spans="1:10">
      <c r="A252" t="s">
        <v>273</v>
      </c>
      <c r="B252" t="s">
        <v>274</v>
      </c>
      <c r="C252" t="s">
        <v>20</v>
      </c>
      <c r="D252" t="s">
        <v>276</v>
      </c>
      <c r="E252" t="s">
        <v>311</v>
      </c>
      <c r="F252" t="s">
        <v>23</v>
      </c>
      <c r="G252" s="91">
        <v>17</v>
      </c>
      <c r="H252" s="91"/>
      <c r="I252" s="91">
        <v>350</v>
      </c>
      <c r="J252" s="91">
        <v>5950</v>
      </c>
    </row>
    <row r="253" spans="1:10">
      <c r="A253" t="s">
        <v>273</v>
      </c>
      <c r="B253" t="s">
        <v>274</v>
      </c>
      <c r="C253" t="s">
        <v>20</v>
      </c>
      <c r="D253" t="s">
        <v>276</v>
      </c>
      <c r="E253" t="s">
        <v>312</v>
      </c>
      <c r="F253" t="s">
        <v>23</v>
      </c>
      <c r="G253" s="91">
        <v>18</v>
      </c>
      <c r="H253" s="91"/>
      <c r="I253" s="91">
        <v>15</v>
      </c>
      <c r="J253" s="91">
        <v>270</v>
      </c>
    </row>
    <row r="254" spans="1:10">
      <c r="A254" t="s">
        <v>273</v>
      </c>
      <c r="B254" t="s">
        <v>274</v>
      </c>
      <c r="C254" t="s">
        <v>20</v>
      </c>
      <c r="D254" t="s">
        <v>276</v>
      </c>
      <c r="E254" t="s">
        <v>313</v>
      </c>
      <c r="F254" t="s">
        <v>23</v>
      </c>
      <c r="G254" s="91">
        <v>20</v>
      </c>
      <c r="H254" s="91"/>
      <c r="I254" s="91">
        <v>140</v>
      </c>
      <c r="J254" s="91">
        <v>2800</v>
      </c>
    </row>
    <row r="255" spans="1:10">
      <c r="A255" t="s">
        <v>273</v>
      </c>
      <c r="B255" t="s">
        <v>274</v>
      </c>
      <c r="C255" t="s">
        <v>20</v>
      </c>
      <c r="D255" t="s">
        <v>276</v>
      </c>
      <c r="E255" t="s">
        <v>314</v>
      </c>
      <c r="F255" t="s">
        <v>23</v>
      </c>
      <c r="G255" s="91">
        <v>20</v>
      </c>
      <c r="H255" s="91"/>
      <c r="I255" s="91">
        <v>250</v>
      </c>
      <c r="J255" s="91">
        <v>5000</v>
      </c>
    </row>
    <row r="256" spans="1:10">
      <c r="A256" t="s">
        <v>273</v>
      </c>
      <c r="B256" t="s">
        <v>274</v>
      </c>
      <c r="C256" t="s">
        <v>20</v>
      </c>
      <c r="D256" t="s">
        <v>276</v>
      </c>
      <c r="E256" t="s">
        <v>315</v>
      </c>
      <c r="F256" t="s">
        <v>23</v>
      </c>
      <c r="G256" s="91">
        <v>10</v>
      </c>
      <c r="H256" s="91"/>
      <c r="I256" s="91">
        <v>80</v>
      </c>
      <c r="J256" s="91">
        <v>800</v>
      </c>
    </row>
    <row r="257" spans="1:10">
      <c r="A257" t="s">
        <v>273</v>
      </c>
      <c r="B257" t="s">
        <v>274</v>
      </c>
      <c r="C257" t="s">
        <v>20</v>
      </c>
      <c r="D257" t="s">
        <v>276</v>
      </c>
      <c r="E257" t="s">
        <v>316</v>
      </c>
      <c r="F257" t="s">
        <v>23</v>
      </c>
      <c r="G257" s="91">
        <v>20</v>
      </c>
      <c r="H257" s="91"/>
      <c r="I257" s="91">
        <v>200</v>
      </c>
      <c r="J257" s="91">
        <v>4000</v>
      </c>
    </row>
    <row r="258" spans="1:10">
      <c r="A258" t="s">
        <v>273</v>
      </c>
      <c r="B258" t="s">
        <v>274</v>
      </c>
      <c r="C258" t="s">
        <v>20</v>
      </c>
      <c r="D258" t="s">
        <v>276</v>
      </c>
      <c r="E258" t="s">
        <v>317</v>
      </c>
      <c r="F258" t="s">
        <v>23</v>
      </c>
      <c r="G258" s="91">
        <v>20</v>
      </c>
      <c r="H258" s="91"/>
      <c r="I258" s="91">
        <v>100</v>
      </c>
      <c r="J258" s="91">
        <v>2000</v>
      </c>
    </row>
    <row r="259" spans="1:10">
      <c r="A259" t="s">
        <v>273</v>
      </c>
      <c r="B259" t="s">
        <v>274</v>
      </c>
      <c r="C259" t="s">
        <v>20</v>
      </c>
      <c r="D259" t="s">
        <v>276</v>
      </c>
      <c r="E259" t="s">
        <v>318</v>
      </c>
      <c r="F259" t="s">
        <v>23</v>
      </c>
      <c r="G259" s="91">
        <v>40</v>
      </c>
      <c r="H259" s="91"/>
      <c r="I259" s="91">
        <v>80</v>
      </c>
      <c r="J259" s="91">
        <v>3200</v>
      </c>
    </row>
    <row r="260" spans="1:10">
      <c r="A260" t="s">
        <v>273</v>
      </c>
      <c r="B260" t="s">
        <v>274</v>
      </c>
      <c r="C260" t="s">
        <v>20</v>
      </c>
      <c r="D260" t="s">
        <v>276</v>
      </c>
      <c r="E260" t="s">
        <v>319</v>
      </c>
      <c r="F260" t="s">
        <v>63</v>
      </c>
      <c r="G260" s="91">
        <v>5</v>
      </c>
      <c r="H260" s="91"/>
      <c r="I260" s="91">
        <v>254</v>
      </c>
      <c r="J260" s="91">
        <v>1270</v>
      </c>
    </row>
    <row r="261" spans="1:10">
      <c r="A261" t="s">
        <v>273</v>
      </c>
      <c r="B261" t="s">
        <v>274</v>
      </c>
      <c r="C261" t="s">
        <v>20</v>
      </c>
      <c r="D261" t="s">
        <v>276</v>
      </c>
      <c r="E261" t="s">
        <v>320</v>
      </c>
      <c r="F261" t="s">
        <v>23</v>
      </c>
      <c r="G261" s="91">
        <v>50</v>
      </c>
      <c r="H261" s="91"/>
      <c r="I261" s="91">
        <v>8</v>
      </c>
      <c r="J261" s="91">
        <v>400</v>
      </c>
    </row>
    <row r="262" spans="1:10">
      <c r="A262" t="s">
        <v>273</v>
      </c>
      <c r="B262" t="s">
        <v>274</v>
      </c>
      <c r="C262" t="s">
        <v>20</v>
      </c>
      <c r="D262" t="s">
        <v>276</v>
      </c>
      <c r="E262" t="s">
        <v>321</v>
      </c>
      <c r="F262" t="s">
        <v>23</v>
      </c>
      <c r="G262" s="91">
        <v>28</v>
      </c>
      <c r="H262" s="91"/>
      <c r="I262" s="91">
        <v>10</v>
      </c>
      <c r="J262" s="91">
        <v>280</v>
      </c>
    </row>
    <row r="263" spans="1:10">
      <c r="A263" t="s">
        <v>273</v>
      </c>
      <c r="B263" t="s">
        <v>274</v>
      </c>
      <c r="C263" t="s">
        <v>20</v>
      </c>
      <c r="D263" t="s">
        <v>276</v>
      </c>
      <c r="E263" t="s">
        <v>322</v>
      </c>
      <c r="F263" t="s">
        <v>23</v>
      </c>
      <c r="G263" s="91">
        <v>13</v>
      </c>
      <c r="H263" s="91"/>
      <c r="I263" s="91">
        <v>8</v>
      </c>
      <c r="J263" s="91">
        <v>104</v>
      </c>
    </row>
    <row r="264" spans="1:10">
      <c r="A264" t="s">
        <v>273</v>
      </c>
      <c r="B264" t="s">
        <v>274</v>
      </c>
      <c r="C264" t="s">
        <v>20</v>
      </c>
      <c r="D264" t="s">
        <v>276</v>
      </c>
      <c r="E264" t="s">
        <v>323</v>
      </c>
      <c r="F264" t="s">
        <v>23</v>
      </c>
      <c r="G264" s="91">
        <v>33</v>
      </c>
      <c r="H264" s="91"/>
      <c r="I264" s="91">
        <v>20</v>
      </c>
      <c r="J264" s="91">
        <v>660</v>
      </c>
    </row>
    <row r="265" spans="1:10">
      <c r="A265" t="s">
        <v>273</v>
      </c>
      <c r="B265" t="s">
        <v>274</v>
      </c>
      <c r="C265" t="s">
        <v>20</v>
      </c>
      <c r="D265" t="s">
        <v>276</v>
      </c>
      <c r="E265" t="s">
        <v>324</v>
      </c>
      <c r="F265" t="s">
        <v>23</v>
      </c>
      <c r="G265" s="91">
        <v>12</v>
      </c>
      <c r="H265" s="91"/>
      <c r="I265" s="91">
        <v>10</v>
      </c>
      <c r="J265" s="91">
        <v>120</v>
      </c>
    </row>
    <row r="266" spans="1:10">
      <c r="A266" t="s">
        <v>273</v>
      </c>
      <c r="B266" t="s">
        <v>274</v>
      </c>
      <c r="C266" t="s">
        <v>20</v>
      </c>
      <c r="D266" t="s">
        <v>276</v>
      </c>
      <c r="E266" t="s">
        <v>325</v>
      </c>
      <c r="F266" t="s">
        <v>23</v>
      </c>
      <c r="G266" s="91">
        <v>13</v>
      </c>
      <c r="H266" s="91"/>
      <c r="I266" s="91">
        <v>180</v>
      </c>
      <c r="J266" s="91">
        <v>2340</v>
      </c>
    </row>
    <row r="267" spans="1:10">
      <c r="A267" t="s">
        <v>273</v>
      </c>
      <c r="B267" t="s">
        <v>274</v>
      </c>
      <c r="C267" t="s">
        <v>20</v>
      </c>
      <c r="D267" t="s">
        <v>276</v>
      </c>
      <c r="E267" t="s">
        <v>326</v>
      </c>
      <c r="F267" t="s">
        <v>63</v>
      </c>
      <c r="G267" s="91">
        <v>10</v>
      </c>
      <c r="H267" s="91"/>
      <c r="I267" s="91">
        <v>240</v>
      </c>
      <c r="J267" s="91">
        <v>2400</v>
      </c>
    </row>
    <row r="268" spans="1:10">
      <c r="A268" t="s">
        <v>273</v>
      </c>
      <c r="B268" t="s">
        <v>274</v>
      </c>
      <c r="C268" t="s">
        <v>20</v>
      </c>
      <c r="D268" t="s">
        <v>276</v>
      </c>
      <c r="E268" t="s">
        <v>327</v>
      </c>
      <c r="F268" t="s">
        <v>23</v>
      </c>
      <c r="G268" s="91">
        <v>8</v>
      </c>
      <c r="H268" s="91"/>
      <c r="I268" s="91">
        <v>25</v>
      </c>
      <c r="J268" s="91">
        <v>200</v>
      </c>
    </row>
    <row r="269" spans="1:10">
      <c r="A269" t="s">
        <v>273</v>
      </c>
      <c r="B269" t="s">
        <v>274</v>
      </c>
      <c r="C269" t="s">
        <v>20</v>
      </c>
      <c r="D269" t="s">
        <v>276</v>
      </c>
      <c r="E269" t="s">
        <v>328</v>
      </c>
      <c r="F269" t="s">
        <v>23</v>
      </c>
      <c r="G269" s="91">
        <v>9</v>
      </c>
      <c r="H269" s="91"/>
      <c r="I269" s="91">
        <v>60</v>
      </c>
      <c r="J269" s="91">
        <v>540</v>
      </c>
    </row>
    <row r="270" spans="1:10">
      <c r="A270" t="s">
        <v>273</v>
      </c>
      <c r="B270" t="s">
        <v>274</v>
      </c>
      <c r="C270" t="s">
        <v>20</v>
      </c>
      <c r="D270" t="s">
        <v>276</v>
      </c>
      <c r="E270" t="s">
        <v>329</v>
      </c>
      <c r="F270" t="s">
        <v>23</v>
      </c>
      <c r="G270" s="91">
        <v>1</v>
      </c>
      <c r="H270" s="91"/>
      <c r="I270" s="91">
        <v>2000</v>
      </c>
      <c r="J270" s="91">
        <v>2000</v>
      </c>
    </row>
    <row r="271" spans="1:10">
      <c r="A271" t="s">
        <v>273</v>
      </c>
      <c r="B271" t="s">
        <v>274</v>
      </c>
      <c r="C271" t="s">
        <v>20</v>
      </c>
      <c r="D271" t="s">
        <v>330</v>
      </c>
      <c r="E271" t="s">
        <v>331</v>
      </c>
      <c r="F271" t="s">
        <v>23</v>
      </c>
      <c r="G271" s="91">
        <v>50</v>
      </c>
      <c r="H271" s="91"/>
      <c r="I271" s="91">
        <v>3000</v>
      </c>
      <c r="J271" s="91">
        <v>150000</v>
      </c>
    </row>
    <row r="272" spans="1:10">
      <c r="A272" t="s">
        <v>273</v>
      </c>
      <c r="B272" t="s">
        <v>274</v>
      </c>
      <c r="C272" t="s">
        <v>20</v>
      </c>
      <c r="D272" t="s">
        <v>271</v>
      </c>
      <c r="E272" t="s">
        <v>332</v>
      </c>
      <c r="F272" t="s">
        <v>23</v>
      </c>
      <c r="G272" s="91">
        <v>50</v>
      </c>
      <c r="H272" s="91"/>
      <c r="I272" s="91">
        <v>500</v>
      </c>
      <c r="J272" s="91">
        <v>25000</v>
      </c>
    </row>
    <row r="273" spans="1:10">
      <c r="A273" t="s">
        <v>273</v>
      </c>
      <c r="B273" t="s">
        <v>274</v>
      </c>
      <c r="C273" t="s">
        <v>20</v>
      </c>
      <c r="D273" t="s">
        <v>133</v>
      </c>
      <c r="E273" t="s">
        <v>333</v>
      </c>
      <c r="F273" t="s">
        <v>23</v>
      </c>
      <c r="G273" s="91">
        <v>5</v>
      </c>
      <c r="H273" s="91"/>
      <c r="I273" s="91">
        <v>40000</v>
      </c>
      <c r="J273" s="91">
        <v>200000</v>
      </c>
    </row>
    <row r="274" spans="1:10">
      <c r="A274" t="s">
        <v>334</v>
      </c>
      <c r="B274" t="s">
        <v>335</v>
      </c>
      <c r="C274" t="s">
        <v>11</v>
      </c>
      <c r="D274" t="s">
        <v>12</v>
      </c>
      <c r="E274" t="s">
        <v>13</v>
      </c>
      <c r="F274" t="s">
        <v>14</v>
      </c>
      <c r="G274" s="91">
        <v>3960</v>
      </c>
      <c r="H274" s="91"/>
      <c r="I274" s="91">
        <v>440</v>
      </c>
      <c r="J274" s="91">
        <v>1742400</v>
      </c>
    </row>
    <row r="275" spans="1:10">
      <c r="A275" t="s">
        <v>334</v>
      </c>
      <c r="B275" t="s">
        <v>335</v>
      </c>
      <c r="C275" t="s">
        <v>20</v>
      </c>
      <c r="D275" t="s">
        <v>61</v>
      </c>
      <c r="E275" t="s">
        <v>336</v>
      </c>
      <c r="F275" t="s">
        <v>23</v>
      </c>
      <c r="G275" s="91">
        <v>10</v>
      </c>
      <c r="H275" s="91"/>
      <c r="I275" s="91">
        <v>150</v>
      </c>
      <c r="J275" s="91">
        <v>1500</v>
      </c>
    </row>
    <row r="276" spans="1:10">
      <c r="A276" t="s">
        <v>334</v>
      </c>
      <c r="B276" t="s">
        <v>335</v>
      </c>
      <c r="C276" t="s">
        <v>20</v>
      </c>
      <c r="D276" t="s">
        <v>337</v>
      </c>
      <c r="E276" t="s">
        <v>338</v>
      </c>
      <c r="F276" t="s">
        <v>23</v>
      </c>
      <c r="G276" s="91">
        <v>230</v>
      </c>
      <c r="H276" s="91"/>
      <c r="I276" s="91">
        <v>25</v>
      </c>
      <c r="J276" s="91">
        <v>5750</v>
      </c>
    </row>
    <row r="277" spans="1:10">
      <c r="A277" t="s">
        <v>334</v>
      </c>
      <c r="B277" t="s">
        <v>335</v>
      </c>
      <c r="C277" t="s">
        <v>20</v>
      </c>
      <c r="D277" t="s">
        <v>337</v>
      </c>
      <c r="E277" t="s">
        <v>339</v>
      </c>
      <c r="F277" t="s">
        <v>23</v>
      </c>
      <c r="G277" s="91">
        <v>25</v>
      </c>
      <c r="H277" s="91"/>
      <c r="I277" s="91">
        <v>1500</v>
      </c>
      <c r="J277" s="91">
        <v>37500</v>
      </c>
    </row>
    <row r="278" spans="1:10">
      <c r="A278" t="s">
        <v>334</v>
      </c>
      <c r="B278" t="s">
        <v>335</v>
      </c>
      <c r="C278" t="s">
        <v>20</v>
      </c>
      <c r="D278" t="s">
        <v>337</v>
      </c>
      <c r="E278" t="s">
        <v>340</v>
      </c>
      <c r="F278" t="s">
        <v>23</v>
      </c>
      <c r="G278" s="91">
        <v>20</v>
      </c>
      <c r="H278" s="91"/>
      <c r="I278" s="91">
        <v>640</v>
      </c>
      <c r="J278" s="91">
        <v>12800</v>
      </c>
    </row>
    <row r="279" spans="1:10">
      <c r="A279" t="s">
        <v>334</v>
      </c>
      <c r="B279" t="s">
        <v>335</v>
      </c>
      <c r="C279" t="s">
        <v>20</v>
      </c>
      <c r="D279" t="s">
        <v>337</v>
      </c>
      <c r="E279" t="s">
        <v>341</v>
      </c>
      <c r="F279" t="s">
        <v>23</v>
      </c>
      <c r="G279" s="91">
        <v>620</v>
      </c>
      <c r="H279" s="91"/>
      <c r="I279" s="91">
        <v>59</v>
      </c>
      <c r="J279" s="91">
        <v>36580</v>
      </c>
    </row>
    <row r="280" spans="1:10">
      <c r="A280" t="s">
        <v>334</v>
      </c>
      <c r="B280" t="s">
        <v>335</v>
      </c>
      <c r="C280" t="s">
        <v>20</v>
      </c>
      <c r="D280" t="s">
        <v>268</v>
      </c>
      <c r="E280" t="s">
        <v>342</v>
      </c>
      <c r="F280" t="s">
        <v>23</v>
      </c>
      <c r="G280" s="91">
        <v>2</v>
      </c>
      <c r="H280" s="91"/>
      <c r="I280" s="91">
        <v>2000</v>
      </c>
      <c r="J280" s="91">
        <v>4000</v>
      </c>
    </row>
    <row r="281" spans="1:10">
      <c r="A281" t="s">
        <v>334</v>
      </c>
      <c r="B281" t="s">
        <v>335</v>
      </c>
      <c r="C281" t="s">
        <v>20</v>
      </c>
      <c r="D281" t="s">
        <v>268</v>
      </c>
      <c r="E281" t="s">
        <v>343</v>
      </c>
      <c r="F281" t="s">
        <v>23</v>
      </c>
      <c r="G281" s="91">
        <v>50</v>
      </c>
      <c r="H281" s="91"/>
      <c r="I281" s="91">
        <v>150</v>
      </c>
      <c r="J281" s="91">
        <v>7500</v>
      </c>
    </row>
    <row r="282" spans="1:10">
      <c r="A282" t="s">
        <v>334</v>
      </c>
      <c r="B282" t="s">
        <v>335</v>
      </c>
      <c r="C282" t="s">
        <v>20</v>
      </c>
      <c r="D282" t="s">
        <v>268</v>
      </c>
      <c r="E282" t="s">
        <v>344</v>
      </c>
      <c r="F282" t="s">
        <v>23</v>
      </c>
      <c r="G282" s="91">
        <v>5</v>
      </c>
      <c r="H282" s="91"/>
      <c r="I282" s="91">
        <v>300</v>
      </c>
      <c r="J282" s="91">
        <v>1500</v>
      </c>
    </row>
    <row r="283" spans="1:10">
      <c r="A283" t="s">
        <v>334</v>
      </c>
      <c r="B283" t="s">
        <v>335</v>
      </c>
      <c r="C283" t="s">
        <v>20</v>
      </c>
      <c r="D283" t="s">
        <v>268</v>
      </c>
      <c r="E283" t="s">
        <v>345</v>
      </c>
      <c r="F283" t="s">
        <v>23</v>
      </c>
      <c r="G283" s="91">
        <v>5</v>
      </c>
      <c r="H283" s="91"/>
      <c r="I283" s="91">
        <v>1500</v>
      </c>
      <c r="J283" s="91">
        <v>7500</v>
      </c>
    </row>
    <row r="284" spans="1:10">
      <c r="A284" t="s">
        <v>334</v>
      </c>
      <c r="B284" t="s">
        <v>335</v>
      </c>
      <c r="C284" t="s">
        <v>20</v>
      </c>
      <c r="D284" t="s">
        <v>268</v>
      </c>
      <c r="E284" t="s">
        <v>346</v>
      </c>
      <c r="F284" t="s">
        <v>23</v>
      </c>
      <c r="G284" s="91">
        <v>2000</v>
      </c>
      <c r="H284" s="91"/>
      <c r="I284" s="91">
        <v>18</v>
      </c>
      <c r="J284" s="91">
        <v>36000</v>
      </c>
    </row>
    <row r="285" spans="1:10">
      <c r="A285" t="s">
        <v>334</v>
      </c>
      <c r="B285" t="s">
        <v>335</v>
      </c>
      <c r="C285" t="s">
        <v>20</v>
      </c>
      <c r="D285" t="s">
        <v>268</v>
      </c>
      <c r="E285" t="s">
        <v>347</v>
      </c>
      <c r="F285" t="s">
        <v>270</v>
      </c>
      <c r="G285" s="91">
        <v>1000</v>
      </c>
      <c r="H285" s="91"/>
      <c r="I285" s="91">
        <v>315</v>
      </c>
      <c r="J285" s="91">
        <v>315000</v>
      </c>
    </row>
    <row r="286" spans="1:10">
      <c r="A286" t="s">
        <v>334</v>
      </c>
      <c r="B286" t="s">
        <v>335</v>
      </c>
      <c r="C286" t="s">
        <v>20</v>
      </c>
      <c r="D286" t="s">
        <v>268</v>
      </c>
      <c r="E286" t="s">
        <v>348</v>
      </c>
      <c r="F286" t="s">
        <v>23</v>
      </c>
      <c r="G286" s="91">
        <v>20</v>
      </c>
      <c r="H286" s="91"/>
      <c r="I286" s="91">
        <v>300</v>
      </c>
      <c r="J286" s="91">
        <v>6000</v>
      </c>
    </row>
    <row r="287" spans="1:10">
      <c r="A287" t="s">
        <v>334</v>
      </c>
      <c r="B287" t="s">
        <v>335</v>
      </c>
      <c r="C287" t="s">
        <v>20</v>
      </c>
      <c r="D287" t="s">
        <v>268</v>
      </c>
      <c r="E287" t="s">
        <v>349</v>
      </c>
      <c r="F287" t="s">
        <v>23</v>
      </c>
      <c r="G287" s="91">
        <v>20</v>
      </c>
      <c r="H287" s="91"/>
      <c r="I287" s="91">
        <v>1350</v>
      </c>
      <c r="J287" s="91">
        <v>27000</v>
      </c>
    </row>
    <row r="288" spans="1:10">
      <c r="A288" t="s">
        <v>334</v>
      </c>
      <c r="B288" t="s">
        <v>335</v>
      </c>
      <c r="C288" t="s">
        <v>20</v>
      </c>
      <c r="D288" t="s">
        <v>268</v>
      </c>
      <c r="E288" t="s">
        <v>350</v>
      </c>
      <c r="F288" t="s">
        <v>23</v>
      </c>
      <c r="G288" s="91">
        <v>15</v>
      </c>
      <c r="H288" s="91"/>
      <c r="I288" s="91">
        <v>7500</v>
      </c>
      <c r="J288" s="91">
        <v>112500</v>
      </c>
    </row>
    <row r="289" spans="1:10">
      <c r="A289" t="s">
        <v>334</v>
      </c>
      <c r="B289" t="s">
        <v>335</v>
      </c>
      <c r="C289" t="s">
        <v>20</v>
      </c>
      <c r="D289" t="s">
        <v>268</v>
      </c>
      <c r="E289" t="s">
        <v>351</v>
      </c>
      <c r="F289" t="s">
        <v>23</v>
      </c>
      <c r="G289" s="91">
        <v>5</v>
      </c>
      <c r="H289" s="91"/>
      <c r="I289" s="91">
        <v>750</v>
      </c>
      <c r="J289" s="91">
        <v>3750</v>
      </c>
    </row>
    <row r="290" spans="1:10">
      <c r="A290" t="s">
        <v>334</v>
      </c>
      <c r="B290" t="s">
        <v>335</v>
      </c>
      <c r="C290" t="s">
        <v>20</v>
      </c>
      <c r="D290" t="s">
        <v>268</v>
      </c>
      <c r="E290" t="s">
        <v>352</v>
      </c>
      <c r="F290" t="s">
        <v>23</v>
      </c>
      <c r="G290" s="91">
        <v>60</v>
      </c>
      <c r="H290" s="91"/>
      <c r="I290" s="91">
        <v>350</v>
      </c>
      <c r="J290" s="91">
        <v>21000</v>
      </c>
    </row>
    <row r="291" spans="1:10">
      <c r="A291" t="s">
        <v>334</v>
      </c>
      <c r="B291" t="s">
        <v>335</v>
      </c>
      <c r="C291" t="s">
        <v>20</v>
      </c>
      <c r="D291" t="s">
        <v>268</v>
      </c>
      <c r="E291" t="s">
        <v>353</v>
      </c>
      <c r="F291" t="s">
        <v>23</v>
      </c>
      <c r="G291" s="91">
        <v>30</v>
      </c>
      <c r="H291" s="91"/>
      <c r="I291" s="91">
        <v>1650</v>
      </c>
      <c r="J291" s="91">
        <v>49500</v>
      </c>
    </row>
    <row r="292" spans="1:10">
      <c r="A292" t="s">
        <v>334</v>
      </c>
      <c r="B292" t="s">
        <v>335</v>
      </c>
      <c r="C292" t="s">
        <v>20</v>
      </c>
      <c r="D292" t="s">
        <v>268</v>
      </c>
      <c r="E292" t="s">
        <v>354</v>
      </c>
      <c r="F292" t="s">
        <v>23</v>
      </c>
      <c r="G292" s="91">
        <v>10</v>
      </c>
      <c r="H292" s="91"/>
      <c r="I292" s="91">
        <v>3500</v>
      </c>
      <c r="J292" s="91">
        <v>35000</v>
      </c>
    </row>
    <row r="293" spans="1:10">
      <c r="A293" t="s">
        <v>334</v>
      </c>
      <c r="B293" t="s">
        <v>335</v>
      </c>
      <c r="C293" t="s">
        <v>20</v>
      </c>
      <c r="D293" t="s">
        <v>268</v>
      </c>
      <c r="E293" t="s">
        <v>355</v>
      </c>
      <c r="F293" t="s">
        <v>23</v>
      </c>
      <c r="G293" s="91">
        <v>30</v>
      </c>
      <c r="H293" s="91"/>
      <c r="I293" s="91">
        <v>3850</v>
      </c>
      <c r="J293" s="91">
        <v>115500</v>
      </c>
    </row>
    <row r="294" spans="1:10">
      <c r="A294" t="s">
        <v>334</v>
      </c>
      <c r="B294" t="s">
        <v>335</v>
      </c>
      <c r="C294" t="s">
        <v>20</v>
      </c>
      <c r="D294" t="s">
        <v>268</v>
      </c>
      <c r="E294" t="s">
        <v>356</v>
      </c>
      <c r="F294" t="s">
        <v>23</v>
      </c>
      <c r="G294" s="91">
        <v>5</v>
      </c>
      <c r="H294" s="91"/>
      <c r="I294" s="91">
        <v>4500</v>
      </c>
      <c r="J294" s="91">
        <v>22500</v>
      </c>
    </row>
    <row r="295" spans="1:10">
      <c r="A295" t="s">
        <v>334</v>
      </c>
      <c r="B295" t="s">
        <v>335</v>
      </c>
      <c r="C295" t="s">
        <v>20</v>
      </c>
      <c r="D295" t="s">
        <v>268</v>
      </c>
      <c r="E295" t="s">
        <v>357</v>
      </c>
      <c r="F295" t="s">
        <v>23</v>
      </c>
      <c r="G295" s="91">
        <v>5</v>
      </c>
      <c r="H295" s="91"/>
      <c r="I295" s="91">
        <v>3500</v>
      </c>
      <c r="J295" s="91">
        <v>17500</v>
      </c>
    </row>
    <row r="296" spans="1:10">
      <c r="A296" t="s">
        <v>334</v>
      </c>
      <c r="B296" t="s">
        <v>335</v>
      </c>
      <c r="C296" t="s">
        <v>20</v>
      </c>
      <c r="D296" t="s">
        <v>268</v>
      </c>
      <c r="E296" t="s">
        <v>358</v>
      </c>
      <c r="F296" t="s">
        <v>270</v>
      </c>
      <c r="G296" s="91">
        <v>150</v>
      </c>
      <c r="H296" s="91"/>
      <c r="I296" s="91">
        <v>390</v>
      </c>
      <c r="J296" s="91">
        <v>58500</v>
      </c>
    </row>
    <row r="297" spans="1:10">
      <c r="A297" t="s">
        <v>334</v>
      </c>
      <c r="B297" t="s">
        <v>335</v>
      </c>
      <c r="C297" t="s">
        <v>20</v>
      </c>
      <c r="D297" t="s">
        <v>268</v>
      </c>
      <c r="E297" t="s">
        <v>359</v>
      </c>
      <c r="F297" t="s">
        <v>270</v>
      </c>
      <c r="G297" s="91">
        <v>50</v>
      </c>
      <c r="H297" s="91"/>
      <c r="I297" s="91">
        <v>30</v>
      </c>
      <c r="J297" s="91">
        <v>1500</v>
      </c>
    </row>
    <row r="298" spans="1:10">
      <c r="A298" t="s">
        <v>334</v>
      </c>
      <c r="B298" t="s">
        <v>335</v>
      </c>
      <c r="C298" t="s">
        <v>20</v>
      </c>
      <c r="D298" t="s">
        <v>268</v>
      </c>
      <c r="E298" t="s">
        <v>360</v>
      </c>
      <c r="F298" t="s">
        <v>23</v>
      </c>
      <c r="G298" s="91">
        <v>10</v>
      </c>
      <c r="H298" s="91"/>
      <c r="I298" s="91">
        <v>3000</v>
      </c>
      <c r="J298" s="91">
        <v>30000</v>
      </c>
    </row>
    <row r="299" spans="1:10">
      <c r="A299" t="s">
        <v>334</v>
      </c>
      <c r="B299" t="s">
        <v>335</v>
      </c>
      <c r="C299" t="s">
        <v>20</v>
      </c>
      <c r="D299" t="s">
        <v>268</v>
      </c>
      <c r="E299" t="s">
        <v>361</v>
      </c>
      <c r="F299" t="s">
        <v>23</v>
      </c>
      <c r="G299" s="91">
        <v>1</v>
      </c>
      <c r="H299" s="91"/>
      <c r="I299" s="91">
        <v>2500</v>
      </c>
      <c r="J299" s="91">
        <v>2500</v>
      </c>
    </row>
    <row r="300" spans="1:10">
      <c r="A300" t="s">
        <v>334</v>
      </c>
      <c r="B300" t="s">
        <v>335</v>
      </c>
      <c r="C300" t="s">
        <v>20</v>
      </c>
      <c r="D300" t="s">
        <v>268</v>
      </c>
      <c r="E300" t="s">
        <v>362</v>
      </c>
      <c r="F300" t="s">
        <v>100</v>
      </c>
      <c r="G300" s="91">
        <v>750</v>
      </c>
      <c r="H300" s="91"/>
      <c r="I300" s="91">
        <v>10</v>
      </c>
      <c r="J300" s="91">
        <v>7500</v>
      </c>
    </row>
    <row r="301" spans="1:10">
      <c r="A301" t="s">
        <v>334</v>
      </c>
      <c r="B301" t="s">
        <v>335</v>
      </c>
      <c r="C301" t="s">
        <v>20</v>
      </c>
      <c r="D301" t="s">
        <v>268</v>
      </c>
      <c r="E301" t="s">
        <v>363</v>
      </c>
      <c r="F301" t="s">
        <v>270</v>
      </c>
      <c r="G301" s="91">
        <v>500</v>
      </c>
      <c r="H301" s="91"/>
      <c r="I301" s="91">
        <v>35</v>
      </c>
      <c r="J301" s="91">
        <v>17500</v>
      </c>
    </row>
    <row r="302" spans="1:10">
      <c r="A302" t="s">
        <v>334</v>
      </c>
      <c r="B302" t="s">
        <v>335</v>
      </c>
      <c r="C302" t="s">
        <v>20</v>
      </c>
      <c r="D302" t="s">
        <v>268</v>
      </c>
      <c r="E302" t="s">
        <v>364</v>
      </c>
      <c r="F302" t="s">
        <v>23</v>
      </c>
      <c r="G302" s="91">
        <v>1000</v>
      </c>
      <c r="H302" s="91"/>
      <c r="I302" s="91">
        <v>2.5</v>
      </c>
      <c r="J302" s="91">
        <v>2500</v>
      </c>
    </row>
    <row r="303" spans="1:10">
      <c r="A303" t="s">
        <v>334</v>
      </c>
      <c r="B303" t="s">
        <v>335</v>
      </c>
      <c r="C303" t="s">
        <v>20</v>
      </c>
      <c r="D303" t="s">
        <v>268</v>
      </c>
      <c r="E303" t="s">
        <v>365</v>
      </c>
      <c r="F303" t="s">
        <v>23</v>
      </c>
      <c r="G303" s="91">
        <v>1500</v>
      </c>
      <c r="H303" s="91"/>
      <c r="I303" s="91">
        <v>2.5</v>
      </c>
      <c r="J303" s="91">
        <v>3750</v>
      </c>
    </row>
    <row r="304" spans="1:10">
      <c r="A304" t="s">
        <v>334</v>
      </c>
      <c r="B304" t="s">
        <v>335</v>
      </c>
      <c r="C304" t="s">
        <v>20</v>
      </c>
      <c r="D304" t="s">
        <v>268</v>
      </c>
      <c r="E304" t="s">
        <v>366</v>
      </c>
      <c r="F304" t="s">
        <v>23</v>
      </c>
      <c r="G304" s="91">
        <v>400</v>
      </c>
      <c r="H304" s="91"/>
      <c r="I304" s="91">
        <v>350</v>
      </c>
      <c r="J304" s="91">
        <v>140000</v>
      </c>
    </row>
    <row r="305" spans="1:10">
      <c r="A305" t="s">
        <v>334</v>
      </c>
      <c r="B305" t="s">
        <v>335</v>
      </c>
      <c r="C305" t="s">
        <v>20</v>
      </c>
      <c r="D305" t="s">
        <v>268</v>
      </c>
      <c r="E305" t="s">
        <v>367</v>
      </c>
      <c r="F305" t="s">
        <v>23</v>
      </c>
      <c r="G305" s="91">
        <v>100</v>
      </c>
      <c r="H305" s="91"/>
      <c r="I305" s="91">
        <v>600</v>
      </c>
      <c r="J305" s="91">
        <v>60000</v>
      </c>
    </row>
    <row r="306" spans="1:10">
      <c r="A306" t="s">
        <v>334</v>
      </c>
      <c r="B306" t="s">
        <v>335</v>
      </c>
      <c r="C306" t="s">
        <v>20</v>
      </c>
      <c r="D306" t="s">
        <v>268</v>
      </c>
      <c r="E306" t="s">
        <v>368</v>
      </c>
      <c r="F306" t="s">
        <v>42</v>
      </c>
      <c r="G306" s="91">
        <v>100</v>
      </c>
      <c r="H306" s="91"/>
      <c r="I306" s="91">
        <v>22</v>
      </c>
      <c r="J306" s="91">
        <v>2200</v>
      </c>
    </row>
    <row r="307" spans="1:10">
      <c r="A307" t="s">
        <v>334</v>
      </c>
      <c r="B307" t="s">
        <v>335</v>
      </c>
      <c r="C307" t="s">
        <v>20</v>
      </c>
      <c r="D307" t="s">
        <v>268</v>
      </c>
      <c r="E307" t="s">
        <v>369</v>
      </c>
      <c r="F307" t="s">
        <v>23</v>
      </c>
      <c r="G307" s="91">
        <v>1000</v>
      </c>
      <c r="H307" s="91"/>
      <c r="I307" s="91">
        <v>40</v>
      </c>
      <c r="J307" s="91">
        <v>40000</v>
      </c>
    </row>
    <row r="308" spans="1:10">
      <c r="A308" t="s">
        <v>334</v>
      </c>
      <c r="B308" t="s">
        <v>335</v>
      </c>
      <c r="C308" t="s">
        <v>20</v>
      </c>
      <c r="D308" t="s">
        <v>268</v>
      </c>
      <c r="E308" t="s">
        <v>370</v>
      </c>
      <c r="F308" t="s">
        <v>23</v>
      </c>
      <c r="G308" s="91">
        <v>250</v>
      </c>
      <c r="H308" s="91"/>
      <c r="I308" s="91">
        <v>180</v>
      </c>
      <c r="J308" s="91">
        <v>45000</v>
      </c>
    </row>
    <row r="309" spans="1:10">
      <c r="A309" t="s">
        <v>334</v>
      </c>
      <c r="B309" t="s">
        <v>335</v>
      </c>
      <c r="C309" t="s">
        <v>20</v>
      </c>
      <c r="D309" t="s">
        <v>268</v>
      </c>
      <c r="E309" t="s">
        <v>371</v>
      </c>
      <c r="F309" t="s">
        <v>23</v>
      </c>
      <c r="G309" s="91">
        <v>100</v>
      </c>
      <c r="H309" s="91"/>
      <c r="I309" s="91">
        <v>3000</v>
      </c>
      <c r="J309" s="91">
        <v>300000</v>
      </c>
    </row>
    <row r="310" spans="1:10">
      <c r="A310" t="s">
        <v>334</v>
      </c>
      <c r="B310" t="s">
        <v>335</v>
      </c>
      <c r="C310" t="s">
        <v>20</v>
      </c>
      <c r="D310" t="s">
        <v>268</v>
      </c>
      <c r="E310" t="s">
        <v>372</v>
      </c>
      <c r="F310" t="s">
        <v>23</v>
      </c>
      <c r="G310" s="91">
        <v>1</v>
      </c>
      <c r="H310" s="91"/>
      <c r="I310" s="91">
        <v>2500</v>
      </c>
      <c r="J310" s="91">
        <v>2500</v>
      </c>
    </row>
    <row r="311" spans="1:10">
      <c r="A311" t="s">
        <v>334</v>
      </c>
      <c r="B311" t="s">
        <v>335</v>
      </c>
      <c r="C311" t="s">
        <v>20</v>
      </c>
      <c r="D311" t="s">
        <v>268</v>
      </c>
      <c r="E311" t="s">
        <v>373</v>
      </c>
      <c r="F311" t="s">
        <v>23</v>
      </c>
      <c r="G311" s="91">
        <v>1000</v>
      </c>
      <c r="H311" s="91"/>
      <c r="I311" s="91">
        <v>10</v>
      </c>
      <c r="J311" s="91">
        <v>10000</v>
      </c>
    </row>
    <row r="312" spans="1:10">
      <c r="A312" t="s">
        <v>334</v>
      </c>
      <c r="B312" t="s">
        <v>335</v>
      </c>
      <c r="C312" t="s">
        <v>20</v>
      </c>
      <c r="D312" t="s">
        <v>268</v>
      </c>
      <c r="E312" t="s">
        <v>374</v>
      </c>
      <c r="F312" t="s">
        <v>23</v>
      </c>
      <c r="G312" s="91">
        <v>50</v>
      </c>
      <c r="H312" s="91"/>
      <c r="I312" s="91">
        <v>350</v>
      </c>
      <c r="J312" s="91">
        <v>17500</v>
      </c>
    </row>
    <row r="313" spans="1:10">
      <c r="A313" t="s">
        <v>334</v>
      </c>
      <c r="B313" t="s">
        <v>335</v>
      </c>
      <c r="C313" t="s">
        <v>20</v>
      </c>
      <c r="D313" t="s">
        <v>268</v>
      </c>
      <c r="E313" t="s">
        <v>375</v>
      </c>
      <c r="F313" t="s">
        <v>23</v>
      </c>
      <c r="G313" s="91">
        <v>50</v>
      </c>
      <c r="H313" s="91"/>
      <c r="I313" s="91">
        <v>350</v>
      </c>
      <c r="J313" s="91">
        <v>17500</v>
      </c>
    </row>
    <row r="314" spans="1:10">
      <c r="A314" t="s">
        <v>334</v>
      </c>
      <c r="B314" t="s">
        <v>335</v>
      </c>
      <c r="C314" t="s">
        <v>20</v>
      </c>
      <c r="D314" t="s">
        <v>268</v>
      </c>
      <c r="E314" t="s">
        <v>376</v>
      </c>
      <c r="F314" t="s">
        <v>23</v>
      </c>
      <c r="G314" s="91">
        <v>250</v>
      </c>
      <c r="H314" s="91"/>
      <c r="I314" s="91">
        <v>5000</v>
      </c>
      <c r="J314" s="91">
        <v>1250000</v>
      </c>
    </row>
    <row r="315" spans="1:10">
      <c r="A315" t="s">
        <v>334</v>
      </c>
      <c r="B315" t="s">
        <v>335</v>
      </c>
      <c r="C315" t="s">
        <v>20</v>
      </c>
      <c r="D315" t="s">
        <v>268</v>
      </c>
      <c r="E315" t="s">
        <v>377</v>
      </c>
      <c r="F315" t="s">
        <v>23</v>
      </c>
      <c r="G315" s="91">
        <v>500</v>
      </c>
      <c r="H315" s="91"/>
      <c r="I315" s="91">
        <v>45</v>
      </c>
      <c r="J315" s="91">
        <v>22500</v>
      </c>
    </row>
    <row r="316" spans="1:10">
      <c r="A316" t="s">
        <v>334</v>
      </c>
      <c r="B316" t="s">
        <v>335</v>
      </c>
      <c r="C316" t="s">
        <v>20</v>
      </c>
      <c r="D316" t="s">
        <v>268</v>
      </c>
      <c r="E316" t="s">
        <v>378</v>
      </c>
      <c r="F316" t="s">
        <v>23</v>
      </c>
      <c r="G316" s="91">
        <v>500</v>
      </c>
      <c r="H316" s="91"/>
      <c r="I316" s="91">
        <v>180</v>
      </c>
      <c r="J316" s="91">
        <v>90000</v>
      </c>
    </row>
    <row r="317" spans="1:10">
      <c r="A317" t="s">
        <v>334</v>
      </c>
      <c r="B317" t="s">
        <v>335</v>
      </c>
      <c r="C317" t="s">
        <v>20</v>
      </c>
      <c r="D317" t="s">
        <v>268</v>
      </c>
      <c r="E317" t="s">
        <v>379</v>
      </c>
      <c r="F317" t="s">
        <v>23</v>
      </c>
      <c r="G317" s="91">
        <v>100</v>
      </c>
      <c r="H317" s="91"/>
      <c r="I317" s="91">
        <v>180</v>
      </c>
      <c r="J317" s="91">
        <v>18000</v>
      </c>
    </row>
    <row r="318" spans="1:10">
      <c r="A318" t="s">
        <v>334</v>
      </c>
      <c r="B318" t="s">
        <v>335</v>
      </c>
      <c r="C318" t="s">
        <v>20</v>
      </c>
      <c r="D318" t="s">
        <v>268</v>
      </c>
      <c r="E318" t="s">
        <v>380</v>
      </c>
      <c r="F318" t="s">
        <v>23</v>
      </c>
      <c r="G318" s="91">
        <v>25</v>
      </c>
      <c r="H318" s="91"/>
      <c r="I318" s="91">
        <v>180</v>
      </c>
      <c r="J318" s="91">
        <v>4500</v>
      </c>
    </row>
    <row r="319" spans="1:10">
      <c r="A319" t="s">
        <v>334</v>
      </c>
      <c r="B319" t="s">
        <v>335</v>
      </c>
      <c r="C319" t="s">
        <v>20</v>
      </c>
      <c r="D319" t="s">
        <v>268</v>
      </c>
      <c r="E319" t="s">
        <v>381</v>
      </c>
      <c r="F319" t="s">
        <v>23</v>
      </c>
      <c r="G319" s="91">
        <v>25</v>
      </c>
      <c r="H319" s="91"/>
      <c r="I319" s="91">
        <v>180</v>
      </c>
      <c r="J319" s="91">
        <v>4500</v>
      </c>
    </row>
    <row r="320" spans="1:10">
      <c r="A320" t="s">
        <v>334</v>
      </c>
      <c r="B320" t="s">
        <v>335</v>
      </c>
      <c r="C320" t="s">
        <v>20</v>
      </c>
      <c r="D320" t="s">
        <v>268</v>
      </c>
      <c r="E320" t="s">
        <v>382</v>
      </c>
      <c r="F320" t="s">
        <v>23</v>
      </c>
      <c r="G320" s="91">
        <v>50</v>
      </c>
      <c r="H320" s="91"/>
      <c r="I320" s="91">
        <v>180</v>
      </c>
      <c r="J320" s="91">
        <v>9000</v>
      </c>
    </row>
    <row r="321" spans="1:10">
      <c r="A321" t="s">
        <v>334</v>
      </c>
      <c r="B321" t="s">
        <v>335</v>
      </c>
      <c r="C321" t="s">
        <v>20</v>
      </c>
      <c r="D321" t="s">
        <v>268</v>
      </c>
      <c r="E321" t="s">
        <v>383</v>
      </c>
      <c r="F321" t="s">
        <v>23</v>
      </c>
      <c r="G321" s="91">
        <v>25</v>
      </c>
      <c r="H321" s="91"/>
      <c r="I321" s="91">
        <v>180</v>
      </c>
      <c r="J321" s="91">
        <v>4500</v>
      </c>
    </row>
    <row r="322" spans="1:10">
      <c r="A322" t="s">
        <v>334</v>
      </c>
      <c r="B322" t="s">
        <v>335</v>
      </c>
      <c r="C322" t="s">
        <v>20</v>
      </c>
      <c r="D322" t="s">
        <v>268</v>
      </c>
      <c r="E322" t="s">
        <v>384</v>
      </c>
      <c r="F322" t="s">
        <v>23</v>
      </c>
      <c r="G322" s="91">
        <v>100</v>
      </c>
      <c r="H322" s="91"/>
      <c r="I322" s="91">
        <v>180</v>
      </c>
      <c r="J322" s="91">
        <v>18000</v>
      </c>
    </row>
    <row r="323" spans="1:10">
      <c r="A323" t="s">
        <v>334</v>
      </c>
      <c r="B323" t="s">
        <v>335</v>
      </c>
      <c r="C323" t="s">
        <v>20</v>
      </c>
      <c r="D323" t="s">
        <v>268</v>
      </c>
      <c r="E323" t="s">
        <v>385</v>
      </c>
      <c r="F323" t="s">
        <v>23</v>
      </c>
      <c r="G323" s="91">
        <v>1500</v>
      </c>
      <c r="H323" s="91"/>
      <c r="I323" s="91">
        <v>70</v>
      </c>
      <c r="J323" s="91">
        <v>105000</v>
      </c>
    </row>
    <row r="324" spans="1:10">
      <c r="A324" t="s">
        <v>334</v>
      </c>
      <c r="B324" t="s">
        <v>335</v>
      </c>
      <c r="C324" t="s">
        <v>20</v>
      </c>
      <c r="D324" t="s">
        <v>268</v>
      </c>
      <c r="E324" t="s">
        <v>386</v>
      </c>
      <c r="F324" t="s">
        <v>23</v>
      </c>
      <c r="G324" s="91">
        <v>1000</v>
      </c>
      <c r="H324" s="91"/>
      <c r="I324" s="91">
        <v>10</v>
      </c>
      <c r="J324" s="91">
        <v>10000</v>
      </c>
    </row>
    <row r="325" spans="1:10">
      <c r="A325" t="s">
        <v>334</v>
      </c>
      <c r="B325" t="s">
        <v>335</v>
      </c>
      <c r="C325" t="s">
        <v>20</v>
      </c>
      <c r="D325" t="s">
        <v>268</v>
      </c>
      <c r="E325" t="s">
        <v>387</v>
      </c>
      <c r="F325" t="s">
        <v>23</v>
      </c>
      <c r="G325" s="91">
        <v>1000</v>
      </c>
      <c r="H325" s="91"/>
      <c r="I325" s="91">
        <v>85</v>
      </c>
      <c r="J325" s="91">
        <v>85000</v>
      </c>
    </row>
    <row r="326" spans="1:10">
      <c r="A326" t="s">
        <v>334</v>
      </c>
      <c r="B326" t="s">
        <v>335</v>
      </c>
      <c r="C326" t="s">
        <v>20</v>
      </c>
      <c r="D326" t="s">
        <v>268</v>
      </c>
      <c r="E326" t="s">
        <v>388</v>
      </c>
      <c r="F326" t="s">
        <v>49</v>
      </c>
      <c r="G326" s="91">
        <v>1000</v>
      </c>
      <c r="H326" s="91"/>
      <c r="I326" s="91">
        <v>175</v>
      </c>
      <c r="J326" s="91">
        <v>175000</v>
      </c>
    </row>
    <row r="327" spans="1:10">
      <c r="A327" t="s">
        <v>334</v>
      </c>
      <c r="B327" t="s">
        <v>335</v>
      </c>
      <c r="C327" t="s">
        <v>20</v>
      </c>
      <c r="D327" t="s">
        <v>268</v>
      </c>
      <c r="E327" t="s">
        <v>389</v>
      </c>
      <c r="F327" t="s">
        <v>270</v>
      </c>
      <c r="G327" s="91">
        <v>1500</v>
      </c>
      <c r="H327" s="91"/>
      <c r="I327" s="91">
        <v>335</v>
      </c>
      <c r="J327" s="91">
        <v>502500</v>
      </c>
    </row>
    <row r="328" spans="1:10">
      <c r="A328" t="s">
        <v>334</v>
      </c>
      <c r="B328" t="s">
        <v>335</v>
      </c>
      <c r="C328" t="s">
        <v>20</v>
      </c>
      <c r="D328" t="s">
        <v>268</v>
      </c>
      <c r="E328" t="s">
        <v>390</v>
      </c>
      <c r="F328" t="s">
        <v>270</v>
      </c>
      <c r="G328" s="91">
        <v>150</v>
      </c>
      <c r="H328" s="91"/>
      <c r="I328" s="91">
        <v>1050</v>
      </c>
      <c r="J328" s="91">
        <v>157500</v>
      </c>
    </row>
    <row r="329" spans="1:10">
      <c r="A329" t="s">
        <v>334</v>
      </c>
      <c r="B329" t="s">
        <v>335</v>
      </c>
      <c r="C329" t="s">
        <v>20</v>
      </c>
      <c r="D329" t="s">
        <v>268</v>
      </c>
      <c r="E329" t="s">
        <v>391</v>
      </c>
      <c r="F329" t="s">
        <v>23</v>
      </c>
      <c r="G329" s="91">
        <v>200</v>
      </c>
      <c r="H329" s="91"/>
      <c r="I329" s="91">
        <v>120</v>
      </c>
      <c r="J329" s="91">
        <v>24000</v>
      </c>
    </row>
    <row r="330" spans="1:10">
      <c r="A330" t="s">
        <v>334</v>
      </c>
      <c r="B330" t="s">
        <v>335</v>
      </c>
      <c r="C330" t="s">
        <v>20</v>
      </c>
      <c r="D330" t="s">
        <v>268</v>
      </c>
      <c r="E330" t="s">
        <v>392</v>
      </c>
      <c r="F330" t="s">
        <v>23</v>
      </c>
      <c r="G330" s="91">
        <v>50</v>
      </c>
      <c r="H330" s="91"/>
      <c r="I330" s="91">
        <v>5640</v>
      </c>
      <c r="J330" s="91">
        <v>282000</v>
      </c>
    </row>
    <row r="331" spans="1:10">
      <c r="A331" t="s">
        <v>334</v>
      </c>
      <c r="B331" t="s">
        <v>335</v>
      </c>
      <c r="C331" t="s">
        <v>20</v>
      </c>
      <c r="D331" t="s">
        <v>268</v>
      </c>
      <c r="E331" t="s">
        <v>393</v>
      </c>
      <c r="F331" t="s">
        <v>23</v>
      </c>
      <c r="G331" s="91">
        <v>50</v>
      </c>
      <c r="H331" s="91"/>
      <c r="I331" s="91">
        <v>13620</v>
      </c>
      <c r="J331" s="91">
        <v>681000</v>
      </c>
    </row>
    <row r="332" spans="1:10">
      <c r="A332" t="s">
        <v>334</v>
      </c>
      <c r="B332" t="s">
        <v>335</v>
      </c>
      <c r="C332" t="s">
        <v>20</v>
      </c>
      <c r="D332" t="s">
        <v>268</v>
      </c>
      <c r="E332" t="s">
        <v>394</v>
      </c>
      <c r="F332" t="s">
        <v>23</v>
      </c>
      <c r="G332" s="91">
        <v>100</v>
      </c>
      <c r="H332" s="91"/>
      <c r="I332" s="91">
        <v>10500</v>
      </c>
      <c r="J332" s="91">
        <v>1050000</v>
      </c>
    </row>
    <row r="333" spans="1:10">
      <c r="A333" t="s">
        <v>334</v>
      </c>
      <c r="B333" t="s">
        <v>335</v>
      </c>
      <c r="C333" t="s">
        <v>20</v>
      </c>
      <c r="D333" t="s">
        <v>268</v>
      </c>
      <c r="E333" t="s">
        <v>395</v>
      </c>
      <c r="F333" t="s">
        <v>270</v>
      </c>
      <c r="G333" s="91">
        <v>50</v>
      </c>
      <c r="H333" s="91"/>
      <c r="I333" s="91">
        <v>180</v>
      </c>
      <c r="J333" s="91">
        <v>9000</v>
      </c>
    </row>
    <row r="334" spans="1:10">
      <c r="A334" t="s">
        <v>334</v>
      </c>
      <c r="B334" t="s">
        <v>335</v>
      </c>
      <c r="C334" t="s">
        <v>20</v>
      </c>
      <c r="D334" t="s">
        <v>268</v>
      </c>
      <c r="E334" t="s">
        <v>396</v>
      </c>
      <c r="F334" t="s">
        <v>23</v>
      </c>
      <c r="G334" s="91">
        <v>5</v>
      </c>
      <c r="H334" s="91"/>
      <c r="I334" s="91">
        <v>210</v>
      </c>
      <c r="J334" s="91">
        <v>1050</v>
      </c>
    </row>
    <row r="335" spans="1:10">
      <c r="A335" t="s">
        <v>334</v>
      </c>
      <c r="B335" t="s">
        <v>335</v>
      </c>
      <c r="C335" t="s">
        <v>20</v>
      </c>
      <c r="D335" t="s">
        <v>114</v>
      </c>
      <c r="E335" t="s">
        <v>397</v>
      </c>
      <c r="F335" t="s">
        <v>49</v>
      </c>
      <c r="G335" s="91">
        <v>4400</v>
      </c>
      <c r="H335" s="91"/>
      <c r="I335" s="91">
        <v>59</v>
      </c>
      <c r="J335" s="91">
        <v>259600</v>
      </c>
    </row>
    <row r="336" spans="1:10">
      <c r="A336" t="s">
        <v>334</v>
      </c>
      <c r="B336" t="s">
        <v>335</v>
      </c>
      <c r="C336" t="s">
        <v>20</v>
      </c>
      <c r="D336" t="s">
        <v>114</v>
      </c>
      <c r="E336" t="s">
        <v>398</v>
      </c>
      <c r="F336" t="s">
        <v>49</v>
      </c>
      <c r="G336" s="91">
        <v>300</v>
      </c>
      <c r="H336" s="91"/>
      <c r="I336" s="91">
        <v>60</v>
      </c>
      <c r="J336" s="91">
        <v>18000</v>
      </c>
    </row>
    <row r="337" spans="1:10">
      <c r="A337" t="s">
        <v>399</v>
      </c>
      <c r="B337" t="s">
        <v>400</v>
      </c>
      <c r="C337" t="s">
        <v>20</v>
      </c>
      <c r="D337" t="s">
        <v>401</v>
      </c>
      <c r="E337" t="s">
        <v>402</v>
      </c>
      <c r="F337" t="s">
        <v>23</v>
      </c>
      <c r="G337" s="91">
        <v>1</v>
      </c>
      <c r="H337" s="91"/>
      <c r="I337" s="91">
        <v>15000</v>
      </c>
      <c r="J337" s="91">
        <v>15000</v>
      </c>
    </row>
    <row r="338" spans="1:10">
      <c r="A338" t="s">
        <v>399</v>
      </c>
      <c r="B338" t="s">
        <v>400</v>
      </c>
      <c r="C338" t="s">
        <v>20</v>
      </c>
      <c r="D338" t="s">
        <v>401</v>
      </c>
      <c r="E338" t="s">
        <v>403</v>
      </c>
      <c r="F338" t="s">
        <v>23</v>
      </c>
      <c r="G338" s="91">
        <v>20</v>
      </c>
      <c r="H338" s="91"/>
      <c r="I338" s="91">
        <v>5000</v>
      </c>
      <c r="J338" s="91">
        <v>100000</v>
      </c>
    </row>
    <row r="339" spans="1:10">
      <c r="A339" t="s">
        <v>399</v>
      </c>
      <c r="B339" t="s">
        <v>400</v>
      </c>
      <c r="C339" t="s">
        <v>20</v>
      </c>
      <c r="D339" t="s">
        <v>401</v>
      </c>
      <c r="E339" t="s">
        <v>404</v>
      </c>
      <c r="F339" t="s">
        <v>23</v>
      </c>
      <c r="G339" s="91">
        <v>20</v>
      </c>
      <c r="H339" s="91"/>
      <c r="I339" s="91">
        <v>800</v>
      </c>
      <c r="J339" s="91">
        <v>16000</v>
      </c>
    </row>
    <row r="340" spans="1:10">
      <c r="A340" t="s">
        <v>405</v>
      </c>
      <c r="B340" t="s">
        <v>406</v>
      </c>
      <c r="C340" t="s">
        <v>11</v>
      </c>
      <c r="D340" t="s">
        <v>12</v>
      </c>
      <c r="E340" t="s">
        <v>13</v>
      </c>
      <c r="F340" t="s">
        <v>14</v>
      </c>
      <c r="G340" s="91">
        <v>600</v>
      </c>
      <c r="H340" s="91"/>
      <c r="I340" s="91">
        <v>440</v>
      </c>
      <c r="J340" s="91">
        <v>264000</v>
      </c>
    </row>
    <row r="341" spans="1:10">
      <c r="A341" t="s">
        <v>407</v>
      </c>
      <c r="B341" t="s">
        <v>408</v>
      </c>
      <c r="C341" t="s">
        <v>20</v>
      </c>
      <c r="D341" t="s">
        <v>21</v>
      </c>
      <c r="E341" t="s">
        <v>409</v>
      </c>
      <c r="F341" t="s">
        <v>144</v>
      </c>
      <c r="G341" s="91">
        <v>2</v>
      </c>
      <c r="H341" s="91"/>
      <c r="I341" s="91">
        <v>22500</v>
      </c>
      <c r="J341" s="91">
        <v>45000</v>
      </c>
    </row>
    <row r="342" spans="1:10">
      <c r="A342" t="s">
        <v>407</v>
      </c>
      <c r="B342" t="s">
        <v>408</v>
      </c>
      <c r="C342" t="s">
        <v>20</v>
      </c>
      <c r="D342" t="s">
        <v>21</v>
      </c>
      <c r="E342" t="s">
        <v>410</v>
      </c>
      <c r="F342" t="s">
        <v>144</v>
      </c>
      <c r="G342" s="91">
        <v>1</v>
      </c>
      <c r="H342" s="91"/>
      <c r="I342" s="91">
        <v>29965</v>
      </c>
      <c r="J342" s="91">
        <v>29965</v>
      </c>
    </row>
    <row r="343" spans="1:10">
      <c r="A343" t="s">
        <v>407</v>
      </c>
      <c r="B343" t="s">
        <v>408</v>
      </c>
      <c r="C343" t="s">
        <v>20</v>
      </c>
      <c r="D343" t="s">
        <v>21</v>
      </c>
      <c r="E343" t="s">
        <v>411</v>
      </c>
      <c r="F343" t="s">
        <v>23</v>
      </c>
      <c r="G343" s="91">
        <v>1</v>
      </c>
      <c r="H343" s="91"/>
      <c r="I343" s="91">
        <v>12000</v>
      </c>
      <c r="J343" s="91">
        <v>12000</v>
      </c>
    </row>
    <row r="344" spans="1:10">
      <c r="A344" t="s">
        <v>407</v>
      </c>
      <c r="B344" t="s">
        <v>408</v>
      </c>
      <c r="C344" t="s">
        <v>20</v>
      </c>
      <c r="D344" t="s">
        <v>61</v>
      </c>
      <c r="E344" t="s">
        <v>412</v>
      </c>
      <c r="F344" t="s">
        <v>23</v>
      </c>
      <c r="G344" s="91">
        <v>10</v>
      </c>
      <c r="H344" s="91"/>
      <c r="I344" s="91">
        <v>80</v>
      </c>
      <c r="J344" s="91">
        <v>800</v>
      </c>
    </row>
    <row r="345" spans="1:10">
      <c r="A345" t="s">
        <v>407</v>
      </c>
      <c r="B345" t="s">
        <v>408</v>
      </c>
      <c r="C345" t="s">
        <v>20</v>
      </c>
      <c r="D345" t="s">
        <v>61</v>
      </c>
      <c r="E345" t="s">
        <v>413</v>
      </c>
      <c r="F345" t="s">
        <v>23</v>
      </c>
      <c r="G345" s="91">
        <v>10</v>
      </c>
      <c r="H345" s="91"/>
      <c r="I345" s="91">
        <v>120</v>
      </c>
      <c r="J345" s="91">
        <v>1200</v>
      </c>
    </row>
    <row r="346" spans="1:10">
      <c r="A346" t="s">
        <v>407</v>
      </c>
      <c r="B346" t="s">
        <v>408</v>
      </c>
      <c r="C346" t="s">
        <v>20</v>
      </c>
      <c r="D346" t="s">
        <v>61</v>
      </c>
      <c r="E346" t="s">
        <v>414</v>
      </c>
      <c r="F346" t="s">
        <v>23</v>
      </c>
      <c r="G346" s="91">
        <v>10</v>
      </c>
      <c r="H346" s="91"/>
      <c r="I346" s="91">
        <v>150</v>
      </c>
      <c r="J346" s="91">
        <v>1500</v>
      </c>
    </row>
    <row r="347" spans="1:10">
      <c r="A347" t="s">
        <v>407</v>
      </c>
      <c r="B347" t="s">
        <v>408</v>
      </c>
      <c r="C347" t="s">
        <v>20</v>
      </c>
      <c r="D347" t="s">
        <v>415</v>
      </c>
      <c r="E347" t="s">
        <v>416</v>
      </c>
      <c r="F347" t="s">
        <v>63</v>
      </c>
      <c r="G347" s="91">
        <v>8000</v>
      </c>
      <c r="H347" s="91"/>
      <c r="I347" s="91">
        <v>95</v>
      </c>
      <c r="J347" s="91">
        <v>760000</v>
      </c>
    </row>
    <row r="348" spans="1:10">
      <c r="A348" t="s">
        <v>417</v>
      </c>
      <c r="B348" t="s">
        <v>418</v>
      </c>
      <c r="C348" t="s">
        <v>11</v>
      </c>
      <c r="D348" t="s">
        <v>12</v>
      </c>
      <c r="E348" t="s">
        <v>13</v>
      </c>
      <c r="F348" t="s">
        <v>14</v>
      </c>
      <c r="G348" s="91">
        <v>1000</v>
      </c>
      <c r="H348" s="91"/>
      <c r="I348" s="91">
        <v>440</v>
      </c>
      <c r="J348" s="91">
        <v>440000</v>
      </c>
    </row>
    <row r="349" spans="1:10">
      <c r="A349" t="s">
        <v>417</v>
      </c>
      <c r="B349" t="s">
        <v>418</v>
      </c>
      <c r="C349" t="s">
        <v>11</v>
      </c>
      <c r="D349" t="s">
        <v>12</v>
      </c>
      <c r="E349" t="s">
        <v>15</v>
      </c>
      <c r="F349" t="s">
        <v>14</v>
      </c>
      <c r="G349" s="91">
        <v>1000</v>
      </c>
      <c r="H349" s="91"/>
      <c r="I349" s="91">
        <v>600</v>
      </c>
      <c r="J349" s="91">
        <v>600000</v>
      </c>
    </row>
    <row r="350" spans="1:10">
      <c r="A350" t="s">
        <v>417</v>
      </c>
      <c r="B350" t="s">
        <v>418</v>
      </c>
      <c r="C350" t="s">
        <v>20</v>
      </c>
      <c r="D350" t="s">
        <v>61</v>
      </c>
      <c r="E350" t="s">
        <v>419</v>
      </c>
      <c r="F350" t="s">
        <v>23</v>
      </c>
      <c r="G350" s="91">
        <v>5</v>
      </c>
      <c r="H350" s="91"/>
      <c r="I350" s="91">
        <v>250</v>
      </c>
      <c r="J350" s="91">
        <v>1250</v>
      </c>
    </row>
    <row r="351" spans="1:10">
      <c r="A351" t="s">
        <v>417</v>
      </c>
      <c r="B351" t="s">
        <v>418</v>
      </c>
      <c r="C351" t="s">
        <v>20</v>
      </c>
      <c r="D351" t="s">
        <v>420</v>
      </c>
      <c r="E351" t="s">
        <v>421</v>
      </c>
      <c r="F351" t="s">
        <v>144</v>
      </c>
      <c r="G351" s="91">
        <v>8</v>
      </c>
      <c r="H351" s="91"/>
      <c r="I351" s="91">
        <v>4760</v>
      </c>
      <c r="J351" s="91">
        <v>38080</v>
      </c>
    </row>
    <row r="352" spans="1:10">
      <c r="A352" t="s">
        <v>417</v>
      </c>
      <c r="B352" t="s">
        <v>418</v>
      </c>
      <c r="C352" t="s">
        <v>20</v>
      </c>
      <c r="D352" t="s">
        <v>420</v>
      </c>
      <c r="E352" t="s">
        <v>422</v>
      </c>
      <c r="F352" t="s">
        <v>23</v>
      </c>
      <c r="G352" s="91">
        <v>2</v>
      </c>
      <c r="H352" s="91"/>
      <c r="I352" s="91">
        <v>650</v>
      </c>
      <c r="J352" s="91">
        <v>1300</v>
      </c>
    </row>
    <row r="353" spans="1:10">
      <c r="A353" t="s">
        <v>417</v>
      </c>
      <c r="B353" t="s">
        <v>418</v>
      </c>
      <c r="C353" t="s">
        <v>20</v>
      </c>
      <c r="D353" t="s">
        <v>420</v>
      </c>
      <c r="E353" t="s">
        <v>423</v>
      </c>
      <c r="F353" t="s">
        <v>23</v>
      </c>
      <c r="G353" s="91">
        <v>1</v>
      </c>
      <c r="H353" s="91"/>
      <c r="I353" s="91">
        <v>9500</v>
      </c>
      <c r="J353" s="91">
        <v>9500</v>
      </c>
    </row>
    <row r="354" spans="1:10">
      <c r="A354" t="s">
        <v>417</v>
      </c>
      <c r="B354" t="s">
        <v>418</v>
      </c>
      <c r="C354" t="s">
        <v>20</v>
      </c>
      <c r="D354" t="s">
        <v>420</v>
      </c>
      <c r="E354" t="s">
        <v>424</v>
      </c>
      <c r="F354" t="s">
        <v>23</v>
      </c>
      <c r="G354" s="91">
        <v>2</v>
      </c>
      <c r="H354" s="91"/>
      <c r="I354" s="91">
        <v>2750</v>
      </c>
      <c r="J354" s="91">
        <v>5500</v>
      </c>
    </row>
    <row r="355" spans="1:10">
      <c r="A355" t="s">
        <v>417</v>
      </c>
      <c r="B355" t="s">
        <v>418</v>
      </c>
      <c r="C355" t="s">
        <v>20</v>
      </c>
      <c r="D355" t="s">
        <v>420</v>
      </c>
      <c r="E355" t="s">
        <v>425</v>
      </c>
      <c r="F355" t="s">
        <v>23</v>
      </c>
      <c r="G355" s="91">
        <v>1</v>
      </c>
      <c r="H355" s="91"/>
      <c r="I355" s="91">
        <v>14100</v>
      </c>
      <c r="J355" s="91">
        <v>14100</v>
      </c>
    </row>
    <row r="356" spans="1:10">
      <c r="A356" t="s">
        <v>417</v>
      </c>
      <c r="B356" t="s">
        <v>418</v>
      </c>
      <c r="C356" t="s">
        <v>20</v>
      </c>
      <c r="D356" t="s">
        <v>420</v>
      </c>
      <c r="E356" t="s">
        <v>426</v>
      </c>
      <c r="F356" t="s">
        <v>23</v>
      </c>
      <c r="G356" s="91">
        <v>1</v>
      </c>
      <c r="H356" s="91"/>
      <c r="I356" s="91">
        <v>7000</v>
      </c>
      <c r="J356" s="91">
        <v>7000</v>
      </c>
    </row>
    <row r="357" spans="1:10">
      <c r="A357" t="s">
        <v>417</v>
      </c>
      <c r="B357" t="s">
        <v>418</v>
      </c>
      <c r="C357" t="s">
        <v>20</v>
      </c>
      <c r="D357" t="s">
        <v>420</v>
      </c>
      <c r="E357" t="s">
        <v>427</v>
      </c>
      <c r="F357" t="s">
        <v>23</v>
      </c>
      <c r="G357" s="91">
        <v>1</v>
      </c>
      <c r="H357" s="91"/>
      <c r="I357" s="91">
        <v>650</v>
      </c>
      <c r="J357" s="91">
        <v>650</v>
      </c>
    </row>
    <row r="358" spans="1:10">
      <c r="A358" t="s">
        <v>417</v>
      </c>
      <c r="B358" t="s">
        <v>418</v>
      </c>
      <c r="C358" t="s">
        <v>20</v>
      </c>
      <c r="D358" t="s">
        <v>420</v>
      </c>
      <c r="E358" t="s">
        <v>428</v>
      </c>
      <c r="F358" t="s">
        <v>23</v>
      </c>
      <c r="G358" s="91">
        <v>2</v>
      </c>
      <c r="H358" s="91"/>
      <c r="I358" s="91">
        <v>525</v>
      </c>
      <c r="J358" s="91">
        <v>1050</v>
      </c>
    </row>
    <row r="359" spans="1:10">
      <c r="A359" t="s">
        <v>417</v>
      </c>
      <c r="B359" t="s">
        <v>418</v>
      </c>
      <c r="C359" t="s">
        <v>20</v>
      </c>
      <c r="D359" t="s">
        <v>420</v>
      </c>
      <c r="E359" t="s">
        <v>429</v>
      </c>
      <c r="F359" t="s">
        <v>23</v>
      </c>
      <c r="G359" s="91">
        <v>1</v>
      </c>
      <c r="H359" s="91"/>
      <c r="I359" s="91">
        <v>650</v>
      </c>
      <c r="J359" s="91">
        <v>650</v>
      </c>
    </row>
    <row r="360" spans="1:10">
      <c r="A360" t="s">
        <v>417</v>
      </c>
      <c r="B360" t="s">
        <v>418</v>
      </c>
      <c r="C360" t="s">
        <v>20</v>
      </c>
      <c r="D360" t="s">
        <v>420</v>
      </c>
      <c r="E360" t="s">
        <v>430</v>
      </c>
      <c r="F360" t="s">
        <v>23</v>
      </c>
      <c r="G360" s="91">
        <v>6</v>
      </c>
      <c r="H360" s="91"/>
      <c r="I360" s="91">
        <v>1850</v>
      </c>
      <c r="J360" s="91">
        <v>11100</v>
      </c>
    </row>
    <row r="361" spans="1:10">
      <c r="A361" t="s">
        <v>417</v>
      </c>
      <c r="B361" t="s">
        <v>418</v>
      </c>
      <c r="C361" t="s">
        <v>20</v>
      </c>
      <c r="D361" t="s">
        <v>420</v>
      </c>
      <c r="E361" t="s">
        <v>431</v>
      </c>
      <c r="F361" t="s">
        <v>23</v>
      </c>
      <c r="G361" s="91">
        <v>1</v>
      </c>
      <c r="H361" s="91"/>
      <c r="I361" s="91">
        <v>22000</v>
      </c>
      <c r="J361" s="91">
        <v>22000</v>
      </c>
    </row>
    <row r="362" spans="1:10">
      <c r="A362" t="s">
        <v>417</v>
      </c>
      <c r="B362" t="s">
        <v>418</v>
      </c>
      <c r="C362" t="s">
        <v>20</v>
      </c>
      <c r="D362" t="s">
        <v>420</v>
      </c>
      <c r="E362" t="s">
        <v>432</v>
      </c>
      <c r="F362" t="s">
        <v>23</v>
      </c>
      <c r="G362" s="91">
        <v>40</v>
      </c>
      <c r="H362" s="91"/>
      <c r="I362" s="91">
        <v>335</v>
      </c>
      <c r="J362" s="91">
        <v>13400</v>
      </c>
    </row>
    <row r="363" spans="1:10">
      <c r="A363" t="s">
        <v>417</v>
      </c>
      <c r="B363" t="s">
        <v>418</v>
      </c>
      <c r="C363" t="s">
        <v>20</v>
      </c>
      <c r="D363" t="s">
        <v>420</v>
      </c>
      <c r="E363" t="s">
        <v>433</v>
      </c>
      <c r="F363" t="s">
        <v>23</v>
      </c>
      <c r="G363" s="91">
        <v>1</v>
      </c>
      <c r="H363" s="91"/>
      <c r="I363" s="91">
        <v>4250</v>
      </c>
      <c r="J363" s="91">
        <v>4250</v>
      </c>
    </row>
    <row r="364" spans="1:10">
      <c r="A364" t="s">
        <v>417</v>
      </c>
      <c r="B364" t="s">
        <v>418</v>
      </c>
      <c r="C364" t="s">
        <v>20</v>
      </c>
      <c r="D364" t="s">
        <v>420</v>
      </c>
      <c r="E364" t="s">
        <v>434</v>
      </c>
      <c r="F364" t="s">
        <v>23</v>
      </c>
      <c r="G364" s="91">
        <v>1</v>
      </c>
      <c r="H364" s="91"/>
      <c r="I364" s="91">
        <v>950</v>
      </c>
      <c r="J364" s="91">
        <v>950</v>
      </c>
    </row>
    <row r="365" spans="1:10">
      <c r="A365" t="s">
        <v>417</v>
      </c>
      <c r="B365" t="s">
        <v>418</v>
      </c>
      <c r="C365" t="s">
        <v>20</v>
      </c>
      <c r="D365" t="s">
        <v>420</v>
      </c>
      <c r="E365" t="s">
        <v>435</v>
      </c>
      <c r="F365" t="s">
        <v>23</v>
      </c>
      <c r="G365" s="91">
        <v>1</v>
      </c>
      <c r="H365" s="91"/>
      <c r="I365" s="91">
        <v>5450</v>
      </c>
      <c r="J365" s="91">
        <v>5450</v>
      </c>
    </row>
    <row r="366" spans="1:10">
      <c r="A366" t="s">
        <v>417</v>
      </c>
      <c r="B366" t="s">
        <v>418</v>
      </c>
      <c r="C366" t="s">
        <v>20</v>
      </c>
      <c r="D366" t="s">
        <v>420</v>
      </c>
      <c r="E366" t="s">
        <v>436</v>
      </c>
      <c r="F366" t="s">
        <v>23</v>
      </c>
      <c r="G366" s="91">
        <v>1</v>
      </c>
      <c r="H366" s="91"/>
      <c r="I366" s="91">
        <v>975</v>
      </c>
      <c r="J366" s="91">
        <v>975</v>
      </c>
    </row>
    <row r="367" spans="1:10">
      <c r="A367" t="s">
        <v>417</v>
      </c>
      <c r="B367" t="s">
        <v>418</v>
      </c>
      <c r="C367" t="s">
        <v>20</v>
      </c>
      <c r="D367" t="s">
        <v>420</v>
      </c>
      <c r="E367" t="s">
        <v>437</v>
      </c>
      <c r="F367" t="s">
        <v>23</v>
      </c>
      <c r="G367" s="91">
        <v>1</v>
      </c>
      <c r="H367" s="91"/>
      <c r="I367" s="91">
        <v>795</v>
      </c>
      <c r="J367" s="91">
        <v>795</v>
      </c>
    </row>
    <row r="368" spans="1:10">
      <c r="A368" t="s">
        <v>417</v>
      </c>
      <c r="B368" t="s">
        <v>418</v>
      </c>
      <c r="C368" t="s">
        <v>20</v>
      </c>
      <c r="D368" t="s">
        <v>420</v>
      </c>
      <c r="E368" t="s">
        <v>438</v>
      </c>
      <c r="F368" t="s">
        <v>23</v>
      </c>
      <c r="G368" s="91">
        <v>1</v>
      </c>
      <c r="H368" s="91"/>
      <c r="I368" s="91">
        <v>1750</v>
      </c>
      <c r="J368" s="91">
        <v>1750</v>
      </c>
    </row>
    <row r="369" spans="1:10">
      <c r="A369" t="s">
        <v>417</v>
      </c>
      <c r="B369" t="s">
        <v>418</v>
      </c>
      <c r="C369" t="s">
        <v>20</v>
      </c>
      <c r="D369" t="s">
        <v>420</v>
      </c>
      <c r="E369" t="s">
        <v>439</v>
      </c>
      <c r="F369" t="s">
        <v>23</v>
      </c>
      <c r="G369" s="91">
        <v>1</v>
      </c>
      <c r="H369" s="91"/>
      <c r="I369" s="91">
        <v>7350</v>
      </c>
      <c r="J369" s="91">
        <v>7350</v>
      </c>
    </row>
    <row r="370" spans="1:10">
      <c r="A370" t="s">
        <v>417</v>
      </c>
      <c r="B370" t="s">
        <v>418</v>
      </c>
      <c r="C370" t="s">
        <v>20</v>
      </c>
      <c r="D370" t="s">
        <v>420</v>
      </c>
      <c r="E370" t="s">
        <v>440</v>
      </c>
      <c r="F370" t="s">
        <v>23</v>
      </c>
      <c r="G370" s="91">
        <v>1</v>
      </c>
      <c r="H370" s="91"/>
      <c r="I370" s="91">
        <v>1600</v>
      </c>
      <c r="J370" s="91">
        <v>1600</v>
      </c>
    </row>
    <row r="371" spans="1:10">
      <c r="A371" t="s">
        <v>417</v>
      </c>
      <c r="B371" t="s">
        <v>418</v>
      </c>
      <c r="C371" t="s">
        <v>20</v>
      </c>
      <c r="D371" t="s">
        <v>420</v>
      </c>
      <c r="E371" t="s">
        <v>441</v>
      </c>
      <c r="F371" t="s">
        <v>23</v>
      </c>
      <c r="G371" s="91">
        <v>9</v>
      </c>
      <c r="H371" s="91"/>
      <c r="I371" s="91">
        <v>585.71</v>
      </c>
      <c r="J371" s="91">
        <v>5271.39</v>
      </c>
    </row>
    <row r="372" spans="1:10">
      <c r="A372" t="s">
        <v>417</v>
      </c>
      <c r="B372" t="s">
        <v>418</v>
      </c>
      <c r="C372" t="s">
        <v>20</v>
      </c>
      <c r="D372" t="s">
        <v>420</v>
      </c>
      <c r="E372" t="s">
        <v>442</v>
      </c>
      <c r="F372" t="s">
        <v>23</v>
      </c>
      <c r="G372" s="91">
        <v>1</v>
      </c>
      <c r="H372" s="91"/>
      <c r="I372" s="91">
        <v>1600</v>
      </c>
      <c r="J372" s="91">
        <v>1600</v>
      </c>
    </row>
    <row r="373" spans="1:10">
      <c r="A373" t="s">
        <v>417</v>
      </c>
      <c r="B373" t="s">
        <v>418</v>
      </c>
      <c r="C373" t="s">
        <v>20</v>
      </c>
      <c r="D373" t="s">
        <v>420</v>
      </c>
      <c r="E373" t="s">
        <v>443</v>
      </c>
      <c r="F373" t="s">
        <v>23</v>
      </c>
      <c r="G373" s="91">
        <v>1</v>
      </c>
      <c r="H373" s="91"/>
      <c r="I373" s="91">
        <v>3150</v>
      </c>
      <c r="J373" s="91">
        <v>3150</v>
      </c>
    </row>
    <row r="374" spans="1:10">
      <c r="A374" t="s">
        <v>444</v>
      </c>
      <c r="B374" t="s">
        <v>445</v>
      </c>
      <c r="C374" t="s">
        <v>20</v>
      </c>
      <c r="D374" t="s">
        <v>265</v>
      </c>
      <c r="E374" t="s">
        <v>446</v>
      </c>
      <c r="F374" t="s">
        <v>63</v>
      </c>
      <c r="G374" s="91">
        <v>500</v>
      </c>
      <c r="H374" s="91"/>
      <c r="I374" s="91">
        <v>110</v>
      </c>
      <c r="J374" s="91">
        <v>55000</v>
      </c>
    </row>
    <row r="375" spans="1:10">
      <c r="A375" t="s">
        <v>444</v>
      </c>
      <c r="B375" t="s">
        <v>445</v>
      </c>
      <c r="C375" t="s">
        <v>20</v>
      </c>
      <c r="D375" t="s">
        <v>265</v>
      </c>
      <c r="E375" t="s">
        <v>447</v>
      </c>
      <c r="F375" t="s">
        <v>23</v>
      </c>
      <c r="G375" s="91">
        <v>10</v>
      </c>
      <c r="H375" s="91"/>
      <c r="I375" s="91">
        <v>519</v>
      </c>
      <c r="J375" s="91">
        <v>5190</v>
      </c>
    </row>
    <row r="376" spans="1:10">
      <c r="A376" t="s">
        <v>444</v>
      </c>
      <c r="B376" t="s">
        <v>445</v>
      </c>
      <c r="C376" t="s">
        <v>20</v>
      </c>
      <c r="D376" t="s">
        <v>265</v>
      </c>
      <c r="E376" t="s">
        <v>448</v>
      </c>
      <c r="F376" t="s">
        <v>63</v>
      </c>
      <c r="G376" s="91">
        <v>20</v>
      </c>
      <c r="H376" s="91"/>
      <c r="I376" s="91">
        <v>265</v>
      </c>
      <c r="J376" s="91">
        <v>5300</v>
      </c>
    </row>
    <row r="377" spans="1:10">
      <c r="A377" t="s">
        <v>444</v>
      </c>
      <c r="B377" t="s">
        <v>445</v>
      </c>
      <c r="C377" t="s">
        <v>20</v>
      </c>
      <c r="D377" t="s">
        <v>265</v>
      </c>
      <c r="E377" t="s">
        <v>449</v>
      </c>
      <c r="F377" t="s">
        <v>49</v>
      </c>
      <c r="G377" s="91">
        <v>50</v>
      </c>
      <c r="H377" s="91"/>
      <c r="I377" s="91">
        <v>140</v>
      </c>
      <c r="J377" s="91">
        <v>7000</v>
      </c>
    </row>
    <row r="378" spans="1:10">
      <c r="A378" t="s">
        <v>444</v>
      </c>
      <c r="B378" t="s">
        <v>445</v>
      </c>
      <c r="C378" t="s">
        <v>20</v>
      </c>
      <c r="D378" t="s">
        <v>265</v>
      </c>
      <c r="E378" t="s">
        <v>450</v>
      </c>
      <c r="F378" t="s">
        <v>63</v>
      </c>
      <c r="G378" s="91">
        <v>210</v>
      </c>
      <c r="H378" s="91"/>
      <c r="I378" s="91">
        <v>175</v>
      </c>
      <c r="J378" s="91">
        <v>36750</v>
      </c>
    </row>
    <row r="379" spans="1:10">
      <c r="A379" t="s">
        <v>444</v>
      </c>
      <c r="B379" t="s">
        <v>445</v>
      </c>
      <c r="C379" t="s">
        <v>20</v>
      </c>
      <c r="D379" t="s">
        <v>265</v>
      </c>
      <c r="E379" t="s">
        <v>451</v>
      </c>
      <c r="F379" t="s">
        <v>23</v>
      </c>
      <c r="G379" s="91">
        <v>10</v>
      </c>
      <c r="H379" s="91"/>
      <c r="I379" s="91">
        <v>369</v>
      </c>
      <c r="J379" s="91">
        <v>3690</v>
      </c>
    </row>
    <row r="380" spans="1:10">
      <c r="A380" t="s">
        <v>444</v>
      </c>
      <c r="B380" t="s">
        <v>445</v>
      </c>
      <c r="C380" t="s">
        <v>20</v>
      </c>
      <c r="D380" t="s">
        <v>265</v>
      </c>
      <c r="E380" t="s">
        <v>452</v>
      </c>
      <c r="F380" t="s">
        <v>63</v>
      </c>
      <c r="G380" s="91">
        <v>100</v>
      </c>
      <c r="H380" s="91"/>
      <c r="I380" s="91">
        <v>250</v>
      </c>
      <c r="J380" s="91">
        <v>25000</v>
      </c>
    </row>
    <row r="381" spans="1:10">
      <c r="A381" t="s">
        <v>444</v>
      </c>
      <c r="B381" t="s">
        <v>445</v>
      </c>
      <c r="C381" t="s">
        <v>20</v>
      </c>
      <c r="D381" t="s">
        <v>265</v>
      </c>
      <c r="E381" t="s">
        <v>453</v>
      </c>
      <c r="F381" t="s">
        <v>49</v>
      </c>
      <c r="G381" s="91">
        <v>200</v>
      </c>
      <c r="H381" s="91"/>
      <c r="I381" s="91">
        <v>320</v>
      </c>
      <c r="J381" s="91">
        <v>64000</v>
      </c>
    </row>
    <row r="382" spans="1:10">
      <c r="A382" t="s">
        <v>444</v>
      </c>
      <c r="B382" t="s">
        <v>445</v>
      </c>
      <c r="C382" t="s">
        <v>20</v>
      </c>
      <c r="D382" t="s">
        <v>265</v>
      </c>
      <c r="E382" t="s">
        <v>454</v>
      </c>
      <c r="F382" t="s">
        <v>63</v>
      </c>
      <c r="G382" s="91">
        <v>210</v>
      </c>
      <c r="H382" s="91"/>
      <c r="I382" s="91">
        <v>115</v>
      </c>
      <c r="J382" s="91">
        <v>24150</v>
      </c>
    </row>
    <row r="383" spans="1:10">
      <c r="A383" t="s">
        <v>455</v>
      </c>
      <c r="B383" t="s">
        <v>456</v>
      </c>
      <c r="C383" t="s">
        <v>20</v>
      </c>
      <c r="D383" t="s">
        <v>457</v>
      </c>
      <c r="E383" t="s">
        <v>458</v>
      </c>
      <c r="F383" t="s">
        <v>23</v>
      </c>
      <c r="G383" s="91">
        <v>400</v>
      </c>
      <c r="H383" s="91"/>
      <c r="I383" s="91">
        <v>95</v>
      </c>
      <c r="J383" s="91">
        <v>38000</v>
      </c>
    </row>
    <row r="384" spans="1:10">
      <c r="A384" t="s">
        <v>455</v>
      </c>
      <c r="B384" t="s">
        <v>456</v>
      </c>
      <c r="C384" t="s">
        <v>20</v>
      </c>
      <c r="D384" t="s">
        <v>59</v>
      </c>
      <c r="E384" t="s">
        <v>459</v>
      </c>
      <c r="F384" t="s">
        <v>63</v>
      </c>
      <c r="G384" s="91">
        <v>1000</v>
      </c>
      <c r="H384" s="91"/>
      <c r="I384" s="91">
        <v>170</v>
      </c>
      <c r="J384" s="91">
        <v>170000</v>
      </c>
    </row>
    <row r="385" spans="1:10">
      <c r="A385" t="s">
        <v>455</v>
      </c>
      <c r="B385" t="s">
        <v>456</v>
      </c>
      <c r="C385" t="s">
        <v>20</v>
      </c>
      <c r="D385" t="s">
        <v>61</v>
      </c>
      <c r="E385" t="s">
        <v>460</v>
      </c>
      <c r="F385" t="s">
        <v>144</v>
      </c>
      <c r="G385" s="91">
        <v>1</v>
      </c>
      <c r="H385" s="91"/>
      <c r="I385" s="91">
        <v>115000</v>
      </c>
      <c r="J385" s="91">
        <v>115000</v>
      </c>
    </row>
    <row r="386" spans="1:10">
      <c r="A386" t="s">
        <v>455</v>
      </c>
      <c r="B386" t="s">
        <v>456</v>
      </c>
      <c r="C386" t="s">
        <v>20</v>
      </c>
      <c r="D386" t="s">
        <v>61</v>
      </c>
      <c r="E386" t="s">
        <v>461</v>
      </c>
      <c r="F386" t="s">
        <v>23</v>
      </c>
      <c r="G386" s="91">
        <v>1000</v>
      </c>
      <c r="H386" s="91"/>
      <c r="I386" s="91">
        <v>25</v>
      </c>
      <c r="J386" s="91">
        <v>25000</v>
      </c>
    </row>
    <row r="387" spans="1:10">
      <c r="A387" t="s">
        <v>455</v>
      </c>
      <c r="B387" t="s">
        <v>456</v>
      </c>
      <c r="C387" t="s">
        <v>20</v>
      </c>
      <c r="D387" t="s">
        <v>61</v>
      </c>
      <c r="E387" t="s">
        <v>462</v>
      </c>
      <c r="F387" t="s">
        <v>23</v>
      </c>
      <c r="G387" s="91">
        <v>50</v>
      </c>
      <c r="H387" s="91"/>
      <c r="I387" s="91">
        <v>50</v>
      </c>
      <c r="J387" s="91">
        <v>2500</v>
      </c>
    </row>
    <row r="388" spans="1:10">
      <c r="A388" t="s">
        <v>455</v>
      </c>
      <c r="B388" t="s">
        <v>456</v>
      </c>
      <c r="C388" t="s">
        <v>20</v>
      </c>
      <c r="D388" t="s">
        <v>61</v>
      </c>
      <c r="E388" t="s">
        <v>463</v>
      </c>
      <c r="F388" t="s">
        <v>23</v>
      </c>
      <c r="G388" s="91">
        <v>100</v>
      </c>
      <c r="H388" s="91"/>
      <c r="I388" s="91">
        <v>70</v>
      </c>
      <c r="J388" s="91">
        <v>7000</v>
      </c>
    </row>
    <row r="389" spans="1:10">
      <c r="A389" t="s">
        <v>455</v>
      </c>
      <c r="B389" t="s">
        <v>456</v>
      </c>
      <c r="C389" t="s">
        <v>20</v>
      </c>
      <c r="D389" t="s">
        <v>61</v>
      </c>
      <c r="E389" t="s">
        <v>464</v>
      </c>
      <c r="F389" t="s">
        <v>23</v>
      </c>
      <c r="G389" s="91">
        <v>100</v>
      </c>
      <c r="H389" s="91"/>
      <c r="I389" s="91">
        <v>70</v>
      </c>
      <c r="J389" s="91">
        <v>7000</v>
      </c>
    </row>
    <row r="390" spans="1:10">
      <c r="A390" t="s">
        <v>455</v>
      </c>
      <c r="B390" t="s">
        <v>456</v>
      </c>
      <c r="C390" t="s">
        <v>20</v>
      </c>
      <c r="D390" t="s">
        <v>61</v>
      </c>
      <c r="E390" t="s">
        <v>465</v>
      </c>
      <c r="F390" t="s">
        <v>23</v>
      </c>
      <c r="G390" s="91">
        <v>100</v>
      </c>
      <c r="H390" s="91"/>
      <c r="I390" s="91">
        <v>120</v>
      </c>
      <c r="J390" s="91">
        <v>12000</v>
      </c>
    </row>
    <row r="391" spans="1:10">
      <c r="A391" t="s">
        <v>455</v>
      </c>
      <c r="B391" t="s">
        <v>456</v>
      </c>
      <c r="C391" t="s">
        <v>20</v>
      </c>
      <c r="D391" t="s">
        <v>61</v>
      </c>
      <c r="E391" t="s">
        <v>466</v>
      </c>
      <c r="F391" t="s">
        <v>23</v>
      </c>
      <c r="G391" s="91">
        <v>50</v>
      </c>
      <c r="H391" s="91"/>
      <c r="I391" s="91">
        <v>50</v>
      </c>
      <c r="J391" s="91">
        <v>2500</v>
      </c>
    </row>
    <row r="392" spans="1:10">
      <c r="A392" t="s">
        <v>455</v>
      </c>
      <c r="B392" t="s">
        <v>456</v>
      </c>
      <c r="C392" t="s">
        <v>20</v>
      </c>
      <c r="D392" t="s">
        <v>61</v>
      </c>
      <c r="E392" t="s">
        <v>467</v>
      </c>
      <c r="F392" t="s">
        <v>23</v>
      </c>
      <c r="G392" s="91">
        <v>50</v>
      </c>
      <c r="H392" s="91"/>
      <c r="I392" s="91">
        <v>50</v>
      </c>
      <c r="J392" s="91">
        <v>2500</v>
      </c>
    </row>
    <row r="393" spans="1:10">
      <c r="A393" t="s">
        <v>455</v>
      </c>
      <c r="B393" t="s">
        <v>456</v>
      </c>
      <c r="C393" t="s">
        <v>20</v>
      </c>
      <c r="D393" t="s">
        <v>61</v>
      </c>
      <c r="E393" t="s">
        <v>468</v>
      </c>
      <c r="F393" t="s">
        <v>23</v>
      </c>
      <c r="G393" s="91">
        <v>50</v>
      </c>
      <c r="H393" s="91"/>
      <c r="I393" s="91">
        <v>285</v>
      </c>
      <c r="J393" s="91">
        <v>14250</v>
      </c>
    </row>
    <row r="394" spans="1:10">
      <c r="A394" t="s">
        <v>455</v>
      </c>
      <c r="B394" t="s">
        <v>456</v>
      </c>
      <c r="C394" t="s">
        <v>20</v>
      </c>
      <c r="D394" t="s">
        <v>61</v>
      </c>
      <c r="E394" t="s">
        <v>469</v>
      </c>
      <c r="F394" t="s">
        <v>23</v>
      </c>
      <c r="G394" s="91">
        <v>200</v>
      </c>
      <c r="H394" s="91"/>
      <c r="I394" s="91">
        <v>380</v>
      </c>
      <c r="J394" s="91">
        <v>76000</v>
      </c>
    </row>
    <row r="395" spans="1:10">
      <c r="A395" t="s">
        <v>455</v>
      </c>
      <c r="B395" t="s">
        <v>456</v>
      </c>
      <c r="C395" t="s">
        <v>20</v>
      </c>
      <c r="D395" t="s">
        <v>61</v>
      </c>
      <c r="E395" t="s">
        <v>470</v>
      </c>
      <c r="F395" t="s">
        <v>23</v>
      </c>
      <c r="G395" s="91">
        <v>25</v>
      </c>
      <c r="H395" s="91"/>
      <c r="I395" s="91">
        <v>850</v>
      </c>
      <c r="J395" s="91">
        <v>21250</v>
      </c>
    </row>
    <row r="396" spans="1:10">
      <c r="A396" t="s">
        <v>455</v>
      </c>
      <c r="B396" t="s">
        <v>456</v>
      </c>
      <c r="C396" t="s">
        <v>20</v>
      </c>
      <c r="D396" t="s">
        <v>61</v>
      </c>
      <c r="E396" t="s">
        <v>471</v>
      </c>
      <c r="F396" t="s">
        <v>472</v>
      </c>
      <c r="G396" s="91">
        <v>1000</v>
      </c>
      <c r="H396" s="91"/>
      <c r="I396" s="91">
        <v>200</v>
      </c>
      <c r="J396" s="91">
        <v>200000</v>
      </c>
    </row>
    <row r="397" spans="1:10">
      <c r="A397" t="s">
        <v>455</v>
      </c>
      <c r="B397" t="s">
        <v>456</v>
      </c>
      <c r="C397" t="s">
        <v>20</v>
      </c>
      <c r="D397" t="s">
        <v>61</v>
      </c>
      <c r="E397" t="s">
        <v>473</v>
      </c>
      <c r="F397" t="s">
        <v>23</v>
      </c>
      <c r="G397" s="91">
        <v>100</v>
      </c>
      <c r="H397" s="91"/>
      <c r="I397" s="91">
        <v>180</v>
      </c>
      <c r="J397" s="91">
        <v>18000</v>
      </c>
    </row>
    <row r="398" spans="1:10">
      <c r="A398" t="s">
        <v>455</v>
      </c>
      <c r="B398" t="s">
        <v>456</v>
      </c>
      <c r="C398" t="s">
        <v>20</v>
      </c>
      <c r="D398" t="s">
        <v>61</v>
      </c>
      <c r="E398" t="s">
        <v>474</v>
      </c>
      <c r="F398" t="s">
        <v>23</v>
      </c>
      <c r="G398" s="91">
        <v>60</v>
      </c>
      <c r="H398" s="91"/>
      <c r="I398" s="91">
        <v>35</v>
      </c>
      <c r="J398" s="91">
        <v>2100</v>
      </c>
    </row>
    <row r="399" spans="1:10">
      <c r="A399" t="s">
        <v>455</v>
      </c>
      <c r="B399" t="s">
        <v>456</v>
      </c>
      <c r="C399" t="s">
        <v>20</v>
      </c>
      <c r="D399" t="s">
        <v>61</v>
      </c>
      <c r="E399" t="s">
        <v>475</v>
      </c>
      <c r="F399" t="s">
        <v>23</v>
      </c>
      <c r="G399" s="91">
        <v>5</v>
      </c>
      <c r="H399" s="91"/>
      <c r="I399" s="91">
        <v>4000</v>
      </c>
      <c r="J399" s="91">
        <v>20000</v>
      </c>
    </row>
    <row r="400" spans="1:10">
      <c r="A400" t="s">
        <v>455</v>
      </c>
      <c r="B400" t="s">
        <v>456</v>
      </c>
      <c r="C400" t="s">
        <v>20</v>
      </c>
      <c r="D400" t="s">
        <v>61</v>
      </c>
      <c r="E400" t="s">
        <v>476</v>
      </c>
      <c r="F400" t="s">
        <v>23</v>
      </c>
      <c r="G400" s="91">
        <v>100</v>
      </c>
      <c r="H400" s="91"/>
      <c r="I400" s="91">
        <v>60</v>
      </c>
      <c r="J400" s="91">
        <v>6000</v>
      </c>
    </row>
    <row r="401" spans="1:10">
      <c r="A401" t="s">
        <v>455</v>
      </c>
      <c r="B401" t="s">
        <v>456</v>
      </c>
      <c r="C401" t="s">
        <v>20</v>
      </c>
      <c r="D401" t="s">
        <v>61</v>
      </c>
      <c r="E401" t="s">
        <v>477</v>
      </c>
      <c r="F401" t="s">
        <v>23</v>
      </c>
      <c r="G401" s="91">
        <v>20</v>
      </c>
      <c r="H401" s="91"/>
      <c r="I401" s="91">
        <v>10</v>
      </c>
      <c r="J401" s="91">
        <v>200</v>
      </c>
    </row>
    <row r="402" spans="1:10">
      <c r="A402" t="s">
        <v>455</v>
      </c>
      <c r="B402" t="s">
        <v>456</v>
      </c>
      <c r="C402" t="s">
        <v>20</v>
      </c>
      <c r="D402" t="s">
        <v>61</v>
      </c>
      <c r="E402" t="s">
        <v>478</v>
      </c>
      <c r="F402" t="s">
        <v>23</v>
      </c>
      <c r="G402" s="91">
        <v>4</v>
      </c>
      <c r="H402" s="91"/>
      <c r="I402" s="91">
        <v>650</v>
      </c>
      <c r="J402" s="91">
        <v>2600</v>
      </c>
    </row>
    <row r="403" spans="1:10">
      <c r="A403" t="s">
        <v>455</v>
      </c>
      <c r="B403" t="s">
        <v>456</v>
      </c>
      <c r="C403" t="s">
        <v>20</v>
      </c>
      <c r="D403" t="s">
        <v>61</v>
      </c>
      <c r="E403" t="s">
        <v>479</v>
      </c>
      <c r="F403" t="s">
        <v>23</v>
      </c>
      <c r="G403" s="91">
        <v>5</v>
      </c>
      <c r="H403" s="91"/>
      <c r="I403" s="91">
        <v>500</v>
      </c>
      <c r="J403" s="91">
        <v>2500</v>
      </c>
    </row>
    <row r="404" spans="1:10">
      <c r="A404" t="s">
        <v>455</v>
      </c>
      <c r="B404" t="s">
        <v>456</v>
      </c>
      <c r="C404" t="s">
        <v>20</v>
      </c>
      <c r="D404" t="s">
        <v>61</v>
      </c>
      <c r="E404" t="s">
        <v>480</v>
      </c>
      <c r="F404" t="s">
        <v>23</v>
      </c>
      <c r="G404" s="91">
        <v>5</v>
      </c>
      <c r="H404" s="91"/>
      <c r="I404" s="91">
        <v>200</v>
      </c>
      <c r="J404" s="91">
        <v>1000</v>
      </c>
    </row>
    <row r="405" spans="1:10">
      <c r="A405" t="s">
        <v>455</v>
      </c>
      <c r="B405" t="s">
        <v>456</v>
      </c>
      <c r="C405" t="s">
        <v>20</v>
      </c>
      <c r="D405" t="s">
        <v>61</v>
      </c>
      <c r="E405" t="s">
        <v>71</v>
      </c>
      <c r="F405" t="s">
        <v>23</v>
      </c>
      <c r="G405" s="91">
        <v>25</v>
      </c>
      <c r="H405" s="91"/>
      <c r="I405" s="91">
        <v>75</v>
      </c>
      <c r="J405" s="91">
        <v>1875</v>
      </c>
    </row>
    <row r="406" spans="1:10">
      <c r="A406" t="s">
        <v>455</v>
      </c>
      <c r="B406" t="s">
        <v>456</v>
      </c>
      <c r="C406" t="s">
        <v>20</v>
      </c>
      <c r="D406" t="s">
        <v>61</v>
      </c>
      <c r="E406" t="s">
        <v>481</v>
      </c>
      <c r="F406" t="s">
        <v>23</v>
      </c>
      <c r="G406" s="91">
        <v>100</v>
      </c>
      <c r="H406" s="91"/>
      <c r="I406" s="91">
        <v>120</v>
      </c>
      <c r="J406" s="91">
        <v>12000</v>
      </c>
    </row>
    <row r="407" spans="1:10">
      <c r="A407" t="s">
        <v>455</v>
      </c>
      <c r="B407" t="s">
        <v>456</v>
      </c>
      <c r="C407" t="s">
        <v>20</v>
      </c>
      <c r="D407" t="s">
        <v>61</v>
      </c>
      <c r="E407" t="s">
        <v>482</v>
      </c>
      <c r="F407" t="s">
        <v>23</v>
      </c>
      <c r="G407" s="91">
        <v>500</v>
      </c>
      <c r="H407" s="91"/>
      <c r="I407" s="91">
        <v>210</v>
      </c>
      <c r="J407" s="91">
        <v>105000</v>
      </c>
    </row>
    <row r="408" spans="1:10">
      <c r="A408" t="s">
        <v>455</v>
      </c>
      <c r="B408" t="s">
        <v>456</v>
      </c>
      <c r="C408" t="s">
        <v>20</v>
      </c>
      <c r="D408" t="s">
        <v>61</v>
      </c>
      <c r="E408" t="s">
        <v>483</v>
      </c>
      <c r="F408" t="s">
        <v>23</v>
      </c>
      <c r="G408" s="91">
        <v>100</v>
      </c>
      <c r="H408" s="91"/>
      <c r="I408" s="91">
        <v>15</v>
      </c>
      <c r="J408" s="91">
        <v>1500</v>
      </c>
    </row>
    <row r="409" spans="1:10">
      <c r="A409" t="s">
        <v>455</v>
      </c>
      <c r="B409" t="s">
        <v>456</v>
      </c>
      <c r="C409" t="s">
        <v>20</v>
      </c>
      <c r="D409" t="s">
        <v>61</v>
      </c>
      <c r="E409" t="s">
        <v>484</v>
      </c>
      <c r="F409" t="s">
        <v>23</v>
      </c>
      <c r="G409" s="91">
        <v>20</v>
      </c>
      <c r="H409" s="91"/>
      <c r="I409" s="91">
        <v>145</v>
      </c>
      <c r="J409" s="91">
        <v>2900</v>
      </c>
    </row>
    <row r="410" spans="1:10">
      <c r="A410" t="s">
        <v>455</v>
      </c>
      <c r="B410" t="s">
        <v>456</v>
      </c>
      <c r="C410" t="s">
        <v>20</v>
      </c>
      <c r="D410" t="s">
        <v>61</v>
      </c>
      <c r="E410" t="s">
        <v>485</v>
      </c>
      <c r="F410" t="s">
        <v>23</v>
      </c>
      <c r="G410" s="91">
        <v>20</v>
      </c>
      <c r="H410" s="91"/>
      <c r="I410" s="91">
        <v>200</v>
      </c>
      <c r="J410" s="91">
        <v>4000</v>
      </c>
    </row>
    <row r="411" spans="1:10">
      <c r="A411" t="s">
        <v>455</v>
      </c>
      <c r="B411" t="s">
        <v>456</v>
      </c>
      <c r="C411" t="s">
        <v>20</v>
      </c>
      <c r="D411" t="s">
        <v>61</v>
      </c>
      <c r="E411" t="s">
        <v>74</v>
      </c>
      <c r="F411" t="s">
        <v>63</v>
      </c>
      <c r="G411" s="91">
        <v>100</v>
      </c>
      <c r="H411" s="91"/>
      <c r="I411" s="91">
        <v>190</v>
      </c>
      <c r="J411" s="91">
        <v>19000</v>
      </c>
    </row>
    <row r="412" spans="1:10">
      <c r="A412" t="s">
        <v>455</v>
      </c>
      <c r="B412" t="s">
        <v>456</v>
      </c>
      <c r="C412" t="s">
        <v>20</v>
      </c>
      <c r="D412" t="s">
        <v>61</v>
      </c>
      <c r="E412" t="s">
        <v>486</v>
      </c>
      <c r="F412" t="s">
        <v>23</v>
      </c>
      <c r="G412" s="91">
        <v>1</v>
      </c>
      <c r="H412" s="91"/>
      <c r="I412" s="91">
        <v>250</v>
      </c>
      <c r="J412" s="91">
        <v>250</v>
      </c>
    </row>
    <row r="413" spans="1:10">
      <c r="A413" t="s">
        <v>455</v>
      </c>
      <c r="B413" t="s">
        <v>456</v>
      </c>
      <c r="C413" t="s">
        <v>20</v>
      </c>
      <c r="D413" t="s">
        <v>61</v>
      </c>
      <c r="E413" t="s">
        <v>487</v>
      </c>
      <c r="F413" t="s">
        <v>23</v>
      </c>
      <c r="G413" s="91">
        <v>1</v>
      </c>
      <c r="H413" s="91"/>
      <c r="I413" s="91">
        <v>275</v>
      </c>
      <c r="J413" s="91">
        <v>275</v>
      </c>
    </row>
    <row r="414" spans="1:10">
      <c r="A414" t="s">
        <v>455</v>
      </c>
      <c r="B414" t="s">
        <v>456</v>
      </c>
      <c r="C414" t="s">
        <v>20</v>
      </c>
      <c r="D414" t="s">
        <v>61</v>
      </c>
      <c r="E414" t="s">
        <v>488</v>
      </c>
      <c r="F414" t="s">
        <v>23</v>
      </c>
      <c r="G414" s="91">
        <v>50</v>
      </c>
      <c r="H414" s="91"/>
      <c r="I414" s="91">
        <v>110</v>
      </c>
      <c r="J414" s="91">
        <v>5500</v>
      </c>
    </row>
    <row r="415" spans="1:10">
      <c r="A415" t="s">
        <v>455</v>
      </c>
      <c r="B415" t="s">
        <v>456</v>
      </c>
      <c r="C415" t="s">
        <v>20</v>
      </c>
      <c r="D415" t="s">
        <v>61</v>
      </c>
      <c r="E415" t="s">
        <v>489</v>
      </c>
      <c r="F415" t="s">
        <v>23</v>
      </c>
      <c r="G415" s="91">
        <v>250</v>
      </c>
      <c r="H415" s="91"/>
      <c r="I415" s="91">
        <v>35</v>
      </c>
      <c r="J415" s="91">
        <v>8750</v>
      </c>
    </row>
    <row r="416" spans="1:10">
      <c r="A416" t="s">
        <v>455</v>
      </c>
      <c r="B416" t="s">
        <v>456</v>
      </c>
      <c r="C416" t="s">
        <v>20</v>
      </c>
      <c r="D416" t="s">
        <v>61</v>
      </c>
      <c r="E416" t="s">
        <v>490</v>
      </c>
      <c r="F416" t="s">
        <v>23</v>
      </c>
      <c r="G416" s="91">
        <v>100</v>
      </c>
      <c r="H416" s="91"/>
      <c r="I416" s="91">
        <v>130</v>
      </c>
      <c r="J416" s="91">
        <v>13000</v>
      </c>
    </row>
    <row r="417" spans="1:10">
      <c r="A417" t="s">
        <v>455</v>
      </c>
      <c r="B417" t="s">
        <v>456</v>
      </c>
      <c r="C417" t="s">
        <v>20</v>
      </c>
      <c r="D417" t="s">
        <v>61</v>
      </c>
      <c r="E417" t="s">
        <v>491</v>
      </c>
      <c r="F417" t="s">
        <v>23</v>
      </c>
      <c r="G417" s="91">
        <v>500</v>
      </c>
      <c r="H417" s="91"/>
      <c r="I417" s="91">
        <v>15</v>
      </c>
      <c r="J417" s="91">
        <v>7500</v>
      </c>
    </row>
    <row r="418" spans="1:10">
      <c r="A418" t="s">
        <v>455</v>
      </c>
      <c r="B418" t="s">
        <v>456</v>
      </c>
      <c r="C418" t="s">
        <v>20</v>
      </c>
      <c r="D418" t="s">
        <v>61</v>
      </c>
      <c r="E418" t="s">
        <v>492</v>
      </c>
      <c r="F418" t="s">
        <v>23</v>
      </c>
      <c r="G418" s="91">
        <v>500</v>
      </c>
      <c r="H418" s="91"/>
      <c r="I418" s="91">
        <v>35</v>
      </c>
      <c r="J418" s="91">
        <v>17500</v>
      </c>
    </row>
    <row r="419" spans="1:10">
      <c r="A419" t="s">
        <v>455</v>
      </c>
      <c r="B419" t="s">
        <v>456</v>
      </c>
      <c r="C419" t="s">
        <v>20</v>
      </c>
      <c r="D419" t="s">
        <v>61</v>
      </c>
      <c r="E419" t="s">
        <v>493</v>
      </c>
      <c r="F419" t="s">
        <v>23</v>
      </c>
      <c r="G419" s="91">
        <v>10</v>
      </c>
      <c r="H419" s="91"/>
      <c r="I419" s="91">
        <v>200</v>
      </c>
      <c r="J419" s="91">
        <v>2000</v>
      </c>
    </row>
    <row r="420" spans="1:10">
      <c r="A420" t="s">
        <v>455</v>
      </c>
      <c r="B420" t="s">
        <v>456</v>
      </c>
      <c r="C420" t="s">
        <v>20</v>
      </c>
      <c r="D420" t="s">
        <v>61</v>
      </c>
      <c r="E420" t="s">
        <v>83</v>
      </c>
      <c r="F420" t="s">
        <v>63</v>
      </c>
      <c r="G420" s="91">
        <v>100</v>
      </c>
      <c r="H420" s="91"/>
      <c r="I420" s="91">
        <v>180</v>
      </c>
      <c r="J420" s="91">
        <v>18000</v>
      </c>
    </row>
    <row r="421" spans="1:10">
      <c r="A421" t="s">
        <v>455</v>
      </c>
      <c r="B421" t="s">
        <v>456</v>
      </c>
      <c r="C421" t="s">
        <v>20</v>
      </c>
      <c r="D421" t="s">
        <v>147</v>
      </c>
      <c r="E421" t="s">
        <v>494</v>
      </c>
      <c r="F421" t="s">
        <v>42</v>
      </c>
      <c r="G421" s="91">
        <v>1500</v>
      </c>
      <c r="H421" s="91"/>
      <c r="I421" s="91">
        <v>9</v>
      </c>
      <c r="J421" s="91">
        <v>13500</v>
      </c>
    </row>
    <row r="422" spans="1:10">
      <c r="A422" t="s">
        <v>455</v>
      </c>
      <c r="B422" t="s">
        <v>456</v>
      </c>
      <c r="C422" t="s">
        <v>20</v>
      </c>
      <c r="D422" t="s">
        <v>104</v>
      </c>
      <c r="E422" t="s">
        <v>495</v>
      </c>
      <c r="F422" t="s">
        <v>49</v>
      </c>
      <c r="G422" s="91">
        <v>1000</v>
      </c>
      <c r="H422" s="91"/>
      <c r="I422" s="91">
        <v>70</v>
      </c>
      <c r="J422" s="91">
        <v>70000</v>
      </c>
    </row>
    <row r="423" spans="1:10">
      <c r="A423" t="s">
        <v>496</v>
      </c>
      <c r="B423" t="s">
        <v>497</v>
      </c>
      <c r="C423" t="s">
        <v>35</v>
      </c>
      <c r="D423" t="s">
        <v>36</v>
      </c>
      <c r="E423" t="s">
        <v>498</v>
      </c>
      <c r="F423" t="s">
        <v>38</v>
      </c>
      <c r="G423" s="91">
        <v>50</v>
      </c>
      <c r="H423" s="91"/>
      <c r="I423" s="91">
        <v>870</v>
      </c>
      <c r="J423" s="91">
        <v>43500</v>
      </c>
    </row>
    <row r="424" spans="1:10">
      <c r="A424" t="s">
        <v>496</v>
      </c>
      <c r="B424" t="s">
        <v>497</v>
      </c>
      <c r="C424" t="s">
        <v>35</v>
      </c>
      <c r="D424" t="s">
        <v>36</v>
      </c>
      <c r="E424" t="s">
        <v>499</v>
      </c>
      <c r="F424" t="s">
        <v>14</v>
      </c>
      <c r="G424" s="91">
        <v>1</v>
      </c>
      <c r="H424" s="91"/>
      <c r="I424" s="91">
        <v>95000</v>
      </c>
      <c r="J424" s="91">
        <v>95000</v>
      </c>
    </row>
    <row r="425" spans="1:10">
      <c r="A425" t="s">
        <v>496</v>
      </c>
      <c r="B425" t="s">
        <v>497</v>
      </c>
      <c r="C425" t="s">
        <v>35</v>
      </c>
      <c r="D425" t="s">
        <v>36</v>
      </c>
      <c r="E425" t="s">
        <v>500</v>
      </c>
      <c r="F425" t="s">
        <v>38</v>
      </c>
      <c r="G425" s="91">
        <v>1100</v>
      </c>
      <c r="H425" s="91"/>
      <c r="I425" s="91">
        <v>900</v>
      </c>
      <c r="J425" s="91">
        <v>990000</v>
      </c>
    </row>
    <row r="426" spans="1:10">
      <c r="A426" t="s">
        <v>496</v>
      </c>
      <c r="B426" t="s">
        <v>497</v>
      </c>
      <c r="C426" t="s">
        <v>35</v>
      </c>
      <c r="D426" t="s">
        <v>36</v>
      </c>
      <c r="E426" t="s">
        <v>501</v>
      </c>
      <c r="F426" t="s">
        <v>502</v>
      </c>
      <c r="G426" s="91">
        <v>20</v>
      </c>
      <c r="H426" s="91"/>
      <c r="I426" s="91">
        <v>150000</v>
      </c>
      <c r="J426" s="91">
        <v>3000000</v>
      </c>
    </row>
    <row r="427" spans="1:10">
      <c r="A427" t="s">
        <v>496</v>
      </c>
      <c r="B427" t="s">
        <v>497</v>
      </c>
      <c r="C427" t="s">
        <v>35</v>
      </c>
      <c r="D427" t="s">
        <v>36</v>
      </c>
      <c r="E427" t="s">
        <v>503</v>
      </c>
      <c r="F427" t="s">
        <v>14</v>
      </c>
      <c r="G427" s="91">
        <v>15</v>
      </c>
      <c r="H427" s="91"/>
      <c r="I427" s="91">
        <v>4500</v>
      </c>
      <c r="J427" s="91">
        <v>67500</v>
      </c>
    </row>
    <row r="428" spans="1:10">
      <c r="A428" t="s">
        <v>496</v>
      </c>
      <c r="B428" t="s">
        <v>497</v>
      </c>
      <c r="C428" t="s">
        <v>35</v>
      </c>
      <c r="D428" t="s">
        <v>36</v>
      </c>
      <c r="E428" t="s">
        <v>504</v>
      </c>
      <c r="F428" t="s">
        <v>38</v>
      </c>
      <c r="G428" s="91">
        <v>400</v>
      </c>
      <c r="H428" s="91"/>
      <c r="I428" s="91">
        <v>950</v>
      </c>
      <c r="J428" s="91">
        <v>380000</v>
      </c>
    </row>
    <row r="429" spans="1:10">
      <c r="A429" t="s">
        <v>505</v>
      </c>
      <c r="B429" t="s">
        <v>506</v>
      </c>
      <c r="C429" t="s">
        <v>11</v>
      </c>
      <c r="D429" t="s">
        <v>40</v>
      </c>
      <c r="E429" t="s">
        <v>43</v>
      </c>
      <c r="F429" t="s">
        <v>32</v>
      </c>
      <c r="G429" s="91">
        <v>1</v>
      </c>
      <c r="H429" s="91"/>
      <c r="I429" s="91">
        <v>1000</v>
      </c>
      <c r="J429" s="91">
        <v>1000</v>
      </c>
    </row>
    <row r="430" spans="1:10">
      <c r="A430" t="s">
        <v>505</v>
      </c>
      <c r="B430" t="s">
        <v>506</v>
      </c>
      <c r="C430" t="s">
        <v>11</v>
      </c>
      <c r="D430" t="s">
        <v>507</v>
      </c>
      <c r="E430" t="s">
        <v>508</v>
      </c>
      <c r="F430" t="s">
        <v>23</v>
      </c>
      <c r="G430" s="91">
        <v>3</v>
      </c>
      <c r="H430" s="91"/>
      <c r="I430" s="91">
        <v>2600</v>
      </c>
      <c r="J430" s="91">
        <v>7800</v>
      </c>
    </row>
    <row r="431" spans="1:10">
      <c r="A431" t="s">
        <v>505</v>
      </c>
      <c r="B431" t="s">
        <v>506</v>
      </c>
      <c r="C431" t="s">
        <v>11</v>
      </c>
      <c r="D431" t="s">
        <v>507</v>
      </c>
      <c r="E431" t="s">
        <v>509</v>
      </c>
      <c r="F431" t="s">
        <v>23</v>
      </c>
      <c r="G431" s="91">
        <v>3</v>
      </c>
      <c r="H431" s="91"/>
      <c r="I431" s="91">
        <v>100</v>
      </c>
      <c r="J431" s="91">
        <v>300</v>
      </c>
    </row>
    <row r="432" spans="1:10">
      <c r="A432" t="s">
        <v>505</v>
      </c>
      <c r="B432" t="s">
        <v>506</v>
      </c>
      <c r="C432" t="s">
        <v>11</v>
      </c>
      <c r="D432" t="s">
        <v>507</v>
      </c>
      <c r="E432" t="s">
        <v>510</v>
      </c>
      <c r="F432" t="s">
        <v>23</v>
      </c>
      <c r="G432" s="91">
        <v>100</v>
      </c>
      <c r="H432" s="91"/>
      <c r="I432" s="91">
        <v>1125</v>
      </c>
      <c r="J432" s="91">
        <v>112500</v>
      </c>
    </row>
    <row r="433" spans="1:10">
      <c r="A433" t="s">
        <v>505</v>
      </c>
      <c r="B433" t="s">
        <v>506</v>
      </c>
      <c r="C433" t="s">
        <v>11</v>
      </c>
      <c r="D433" t="s">
        <v>507</v>
      </c>
      <c r="E433" t="s">
        <v>511</v>
      </c>
      <c r="F433" t="s">
        <v>23</v>
      </c>
      <c r="G433" s="91">
        <v>100</v>
      </c>
      <c r="H433" s="91"/>
      <c r="I433" s="91">
        <v>225</v>
      </c>
      <c r="J433" s="91">
        <v>22500</v>
      </c>
    </row>
    <row r="434" spans="1:10">
      <c r="A434" t="s">
        <v>505</v>
      </c>
      <c r="B434" t="s">
        <v>506</v>
      </c>
      <c r="C434" t="s">
        <v>11</v>
      </c>
      <c r="D434" t="s">
        <v>507</v>
      </c>
      <c r="E434" t="s">
        <v>512</v>
      </c>
      <c r="F434" t="s">
        <v>23</v>
      </c>
      <c r="G434" s="91">
        <v>100</v>
      </c>
      <c r="H434" s="91"/>
      <c r="I434" s="91">
        <v>750</v>
      </c>
      <c r="J434" s="91">
        <v>75000</v>
      </c>
    </row>
    <row r="435" spans="1:10">
      <c r="A435" t="s">
        <v>505</v>
      </c>
      <c r="B435" t="s">
        <v>506</v>
      </c>
      <c r="C435" t="s">
        <v>11</v>
      </c>
      <c r="D435" t="s">
        <v>507</v>
      </c>
      <c r="E435" t="s">
        <v>513</v>
      </c>
      <c r="F435" t="s">
        <v>23</v>
      </c>
      <c r="G435" s="91">
        <v>100</v>
      </c>
      <c r="H435" s="91"/>
      <c r="I435" s="91">
        <v>75</v>
      </c>
      <c r="J435" s="91">
        <v>7500</v>
      </c>
    </row>
    <row r="436" spans="1:10">
      <c r="A436" t="s">
        <v>505</v>
      </c>
      <c r="B436" t="s">
        <v>506</v>
      </c>
      <c r="C436" t="s">
        <v>11</v>
      </c>
      <c r="D436" t="s">
        <v>507</v>
      </c>
      <c r="E436" t="s">
        <v>514</v>
      </c>
      <c r="F436" t="s">
        <v>23</v>
      </c>
      <c r="G436" s="91">
        <v>100</v>
      </c>
      <c r="H436" s="91"/>
      <c r="I436" s="91">
        <v>1500</v>
      </c>
      <c r="J436" s="91">
        <v>150000</v>
      </c>
    </row>
    <row r="437" spans="1:10">
      <c r="A437" t="s">
        <v>505</v>
      </c>
      <c r="B437" t="s">
        <v>506</v>
      </c>
      <c r="C437" t="s">
        <v>11</v>
      </c>
      <c r="D437" t="s">
        <v>507</v>
      </c>
      <c r="E437" t="s">
        <v>515</v>
      </c>
      <c r="F437" t="s">
        <v>23</v>
      </c>
      <c r="G437" s="91">
        <v>1</v>
      </c>
      <c r="H437" s="91"/>
      <c r="I437" s="91">
        <v>975</v>
      </c>
      <c r="J437" s="91">
        <v>975</v>
      </c>
    </row>
    <row r="438" spans="1:10">
      <c r="A438" t="s">
        <v>505</v>
      </c>
      <c r="B438" t="s">
        <v>506</v>
      </c>
      <c r="C438" t="s">
        <v>11</v>
      </c>
      <c r="D438" t="s">
        <v>507</v>
      </c>
      <c r="E438" t="s">
        <v>516</v>
      </c>
      <c r="F438" t="s">
        <v>23</v>
      </c>
      <c r="G438" s="91">
        <v>1</v>
      </c>
      <c r="H438" s="91"/>
      <c r="I438" s="91">
        <v>1375</v>
      </c>
      <c r="J438" s="91">
        <v>1375</v>
      </c>
    </row>
    <row r="439" spans="1:10">
      <c r="A439" t="s">
        <v>505</v>
      </c>
      <c r="B439" t="s">
        <v>506</v>
      </c>
      <c r="C439" t="s">
        <v>11</v>
      </c>
      <c r="D439" t="s">
        <v>507</v>
      </c>
      <c r="E439" t="s">
        <v>517</v>
      </c>
      <c r="F439" t="s">
        <v>23</v>
      </c>
      <c r="G439" s="91">
        <v>1</v>
      </c>
      <c r="H439" s="91"/>
      <c r="I439" s="91">
        <v>575</v>
      </c>
      <c r="J439" s="91">
        <v>575</v>
      </c>
    </row>
    <row r="440" spans="1:10">
      <c r="A440" t="s">
        <v>505</v>
      </c>
      <c r="B440" t="s">
        <v>506</v>
      </c>
      <c r="C440" t="s">
        <v>11</v>
      </c>
      <c r="D440" t="s">
        <v>507</v>
      </c>
      <c r="E440" t="s">
        <v>518</v>
      </c>
      <c r="F440" t="s">
        <v>23</v>
      </c>
      <c r="G440" s="91">
        <v>100</v>
      </c>
      <c r="H440" s="91"/>
      <c r="I440" s="91">
        <v>3085</v>
      </c>
      <c r="J440" s="91">
        <v>308500</v>
      </c>
    </row>
    <row r="441" spans="1:10">
      <c r="A441" t="s">
        <v>505</v>
      </c>
      <c r="B441" t="s">
        <v>506</v>
      </c>
      <c r="C441" t="s">
        <v>11</v>
      </c>
      <c r="D441" t="s">
        <v>507</v>
      </c>
      <c r="E441" t="s">
        <v>519</v>
      </c>
      <c r="F441" t="s">
        <v>23</v>
      </c>
      <c r="G441" s="91">
        <v>10</v>
      </c>
      <c r="H441" s="91"/>
      <c r="I441" s="91">
        <v>445</v>
      </c>
      <c r="J441" s="91">
        <v>4450</v>
      </c>
    </row>
    <row r="442" spans="1:10">
      <c r="A442" t="s">
        <v>505</v>
      </c>
      <c r="B442" t="s">
        <v>506</v>
      </c>
      <c r="C442" t="s">
        <v>11</v>
      </c>
      <c r="D442" t="s">
        <v>507</v>
      </c>
      <c r="E442" t="s">
        <v>520</v>
      </c>
      <c r="F442" t="s">
        <v>23</v>
      </c>
      <c r="G442" s="91">
        <v>10</v>
      </c>
      <c r="H442" s="91"/>
      <c r="I442" s="91">
        <v>445</v>
      </c>
      <c r="J442" s="91">
        <v>4450</v>
      </c>
    </row>
    <row r="443" spans="1:10">
      <c r="A443" t="s">
        <v>505</v>
      </c>
      <c r="B443" t="s">
        <v>506</v>
      </c>
      <c r="C443" t="s">
        <v>11</v>
      </c>
      <c r="D443" t="s">
        <v>507</v>
      </c>
      <c r="E443" t="s">
        <v>521</v>
      </c>
      <c r="F443" t="s">
        <v>23</v>
      </c>
      <c r="G443" s="91">
        <v>100</v>
      </c>
      <c r="H443" s="91"/>
      <c r="I443" s="91">
        <v>487.5</v>
      </c>
      <c r="J443" s="91">
        <v>48750</v>
      </c>
    </row>
    <row r="444" spans="1:10">
      <c r="A444" t="s">
        <v>505</v>
      </c>
      <c r="B444" t="s">
        <v>506</v>
      </c>
      <c r="C444" t="s">
        <v>11</v>
      </c>
      <c r="D444" t="s">
        <v>507</v>
      </c>
      <c r="E444" t="s">
        <v>522</v>
      </c>
      <c r="F444" t="s">
        <v>23</v>
      </c>
      <c r="G444" s="91">
        <v>100</v>
      </c>
      <c r="H444" s="91"/>
      <c r="I444" s="91">
        <v>525</v>
      </c>
      <c r="J444" s="91">
        <v>52500</v>
      </c>
    </row>
    <row r="445" spans="1:10">
      <c r="A445" t="s">
        <v>505</v>
      </c>
      <c r="B445" t="s">
        <v>506</v>
      </c>
      <c r="C445" t="s">
        <v>11</v>
      </c>
      <c r="D445" t="s">
        <v>507</v>
      </c>
      <c r="E445" t="s">
        <v>523</v>
      </c>
      <c r="F445" t="s">
        <v>23</v>
      </c>
      <c r="G445" s="91">
        <v>100</v>
      </c>
      <c r="H445" s="91"/>
      <c r="I445" s="91">
        <v>1125</v>
      </c>
      <c r="J445" s="91">
        <v>112500</v>
      </c>
    </row>
    <row r="446" spans="1:10">
      <c r="A446" t="s">
        <v>505</v>
      </c>
      <c r="B446" t="s">
        <v>506</v>
      </c>
      <c r="C446" t="s">
        <v>11</v>
      </c>
      <c r="D446" t="s">
        <v>507</v>
      </c>
      <c r="E446" t="s">
        <v>524</v>
      </c>
      <c r="F446" t="s">
        <v>23</v>
      </c>
      <c r="G446" s="91">
        <v>100</v>
      </c>
      <c r="H446" s="91"/>
      <c r="I446" s="91">
        <v>487.5</v>
      </c>
      <c r="J446" s="91">
        <v>48750</v>
      </c>
    </row>
    <row r="447" spans="1:10">
      <c r="A447" t="s">
        <v>505</v>
      </c>
      <c r="B447" t="s">
        <v>506</v>
      </c>
      <c r="C447" t="s">
        <v>11</v>
      </c>
      <c r="D447" t="s">
        <v>507</v>
      </c>
      <c r="E447" t="s">
        <v>525</v>
      </c>
      <c r="F447" t="s">
        <v>23</v>
      </c>
      <c r="G447" s="91">
        <v>100</v>
      </c>
      <c r="H447" s="91"/>
      <c r="I447" s="91">
        <v>375</v>
      </c>
      <c r="J447" s="91">
        <v>37500</v>
      </c>
    </row>
    <row r="448" spans="1:10">
      <c r="A448" t="s">
        <v>505</v>
      </c>
      <c r="B448" t="s">
        <v>506</v>
      </c>
      <c r="C448" t="s">
        <v>11</v>
      </c>
      <c r="D448" t="s">
        <v>507</v>
      </c>
      <c r="E448" t="s">
        <v>526</v>
      </c>
      <c r="F448" t="s">
        <v>23</v>
      </c>
      <c r="G448" s="91">
        <v>100</v>
      </c>
      <c r="H448" s="91"/>
      <c r="I448" s="91">
        <v>750</v>
      </c>
      <c r="J448" s="91">
        <v>75000</v>
      </c>
    </row>
    <row r="449" spans="1:10">
      <c r="A449" t="s">
        <v>505</v>
      </c>
      <c r="B449" t="s">
        <v>506</v>
      </c>
      <c r="C449" t="s">
        <v>11</v>
      </c>
      <c r="D449" t="s">
        <v>507</v>
      </c>
      <c r="E449" t="s">
        <v>527</v>
      </c>
      <c r="F449" t="s">
        <v>23</v>
      </c>
      <c r="G449" s="91">
        <v>100</v>
      </c>
      <c r="H449" s="91"/>
      <c r="I449" s="91">
        <v>375</v>
      </c>
      <c r="J449" s="91">
        <v>37500</v>
      </c>
    </row>
    <row r="450" spans="1:10">
      <c r="A450" t="s">
        <v>505</v>
      </c>
      <c r="B450" t="s">
        <v>506</v>
      </c>
      <c r="C450" t="s">
        <v>11</v>
      </c>
      <c r="D450" t="s">
        <v>507</v>
      </c>
      <c r="E450" t="s">
        <v>528</v>
      </c>
      <c r="F450" t="s">
        <v>23</v>
      </c>
      <c r="G450" s="91">
        <v>100</v>
      </c>
      <c r="H450" s="91"/>
      <c r="I450" s="91">
        <v>4875</v>
      </c>
      <c r="J450" s="91">
        <v>487500</v>
      </c>
    </row>
    <row r="451" spans="1:10">
      <c r="A451" t="s">
        <v>505</v>
      </c>
      <c r="B451" t="s">
        <v>506</v>
      </c>
      <c r="C451" t="s">
        <v>11</v>
      </c>
      <c r="D451" t="s">
        <v>507</v>
      </c>
      <c r="E451" t="s">
        <v>529</v>
      </c>
      <c r="F451" t="s">
        <v>144</v>
      </c>
      <c r="G451" s="91">
        <v>360</v>
      </c>
      <c r="H451" s="91"/>
      <c r="I451" s="91">
        <v>652</v>
      </c>
      <c r="J451" s="91">
        <v>234720</v>
      </c>
    </row>
    <row r="452" spans="1:10">
      <c r="A452" t="s">
        <v>505</v>
      </c>
      <c r="B452" t="s">
        <v>506</v>
      </c>
      <c r="C452" t="s">
        <v>11</v>
      </c>
      <c r="D452" t="s">
        <v>507</v>
      </c>
      <c r="E452" t="s">
        <v>530</v>
      </c>
      <c r="F452" t="s">
        <v>144</v>
      </c>
      <c r="G452" s="91">
        <v>129</v>
      </c>
      <c r="H452" s="91"/>
      <c r="I452" s="91">
        <v>407</v>
      </c>
      <c r="J452" s="91">
        <v>52503</v>
      </c>
    </row>
    <row r="453" spans="1:10">
      <c r="A453" t="s">
        <v>505</v>
      </c>
      <c r="B453" t="s">
        <v>506</v>
      </c>
      <c r="C453" t="s">
        <v>11</v>
      </c>
      <c r="D453" t="s">
        <v>507</v>
      </c>
      <c r="E453" t="s">
        <v>531</v>
      </c>
      <c r="F453" t="s">
        <v>144</v>
      </c>
      <c r="G453" s="91">
        <v>585</v>
      </c>
      <c r="H453" s="91"/>
      <c r="I453" s="91">
        <v>356</v>
      </c>
      <c r="J453" s="91">
        <v>208260</v>
      </c>
    </row>
    <row r="454" spans="1:10">
      <c r="A454" t="s">
        <v>505</v>
      </c>
      <c r="B454" t="s">
        <v>506</v>
      </c>
      <c r="C454" t="s">
        <v>11</v>
      </c>
      <c r="D454" t="s">
        <v>507</v>
      </c>
      <c r="E454" t="s">
        <v>532</v>
      </c>
      <c r="F454" t="s">
        <v>144</v>
      </c>
      <c r="G454" s="91">
        <v>366</v>
      </c>
      <c r="H454" s="91"/>
      <c r="I454" s="91">
        <v>254</v>
      </c>
      <c r="J454" s="91">
        <v>92964</v>
      </c>
    </row>
    <row r="455" spans="1:10">
      <c r="A455" t="s">
        <v>505</v>
      </c>
      <c r="B455" t="s">
        <v>506</v>
      </c>
      <c r="C455" t="s">
        <v>11</v>
      </c>
      <c r="D455" t="s">
        <v>507</v>
      </c>
      <c r="E455" t="s">
        <v>533</v>
      </c>
      <c r="F455" t="s">
        <v>144</v>
      </c>
      <c r="G455" s="91">
        <v>7</v>
      </c>
      <c r="H455" s="91"/>
      <c r="I455" s="91">
        <v>1898</v>
      </c>
      <c r="J455" s="91">
        <v>13286</v>
      </c>
    </row>
    <row r="456" spans="1:10">
      <c r="A456" t="s">
        <v>505</v>
      </c>
      <c r="B456" t="s">
        <v>506</v>
      </c>
      <c r="C456" t="s">
        <v>11</v>
      </c>
      <c r="D456" t="s">
        <v>507</v>
      </c>
      <c r="E456" t="s">
        <v>534</v>
      </c>
      <c r="F456" t="s">
        <v>144</v>
      </c>
      <c r="G456" s="91">
        <v>2</v>
      </c>
      <c r="H456" s="91"/>
      <c r="I456" s="91">
        <v>1400</v>
      </c>
      <c r="J456" s="91">
        <v>2800</v>
      </c>
    </row>
    <row r="457" spans="1:10">
      <c r="A457" t="s">
        <v>535</v>
      </c>
      <c r="B457" t="s">
        <v>536</v>
      </c>
      <c r="C457" t="s">
        <v>11</v>
      </c>
      <c r="D457" t="s">
        <v>536</v>
      </c>
      <c r="E457" t="s">
        <v>537</v>
      </c>
      <c r="F457" t="s">
        <v>23</v>
      </c>
      <c r="G457" s="91">
        <v>4942583</v>
      </c>
      <c r="H457" s="91"/>
      <c r="I457" s="91">
        <v>0.33</v>
      </c>
      <c r="J457" s="91">
        <v>1631052.39</v>
      </c>
    </row>
    <row r="458" spans="1:10">
      <c r="A458" t="s">
        <v>535</v>
      </c>
      <c r="B458" t="s">
        <v>536</v>
      </c>
      <c r="C458" t="s">
        <v>11</v>
      </c>
      <c r="D458" t="s">
        <v>536</v>
      </c>
      <c r="E458" t="s">
        <v>538</v>
      </c>
      <c r="F458" t="s">
        <v>23</v>
      </c>
      <c r="G458" s="91">
        <v>316680</v>
      </c>
      <c r="H458" s="91"/>
      <c r="I458" s="91">
        <v>0.5</v>
      </c>
      <c r="J458" s="91">
        <v>158340</v>
      </c>
    </row>
    <row r="459" spans="1:10">
      <c r="A459" t="s">
        <v>535</v>
      </c>
      <c r="B459" t="s">
        <v>536</v>
      </c>
      <c r="C459" t="s">
        <v>11</v>
      </c>
      <c r="D459" t="s">
        <v>536</v>
      </c>
      <c r="E459" t="s">
        <v>539</v>
      </c>
      <c r="F459" t="s">
        <v>23</v>
      </c>
      <c r="G459" s="91">
        <v>6012962</v>
      </c>
      <c r="H459" s="91"/>
      <c r="I459" s="91">
        <v>0.33</v>
      </c>
      <c r="J459" s="91">
        <v>1984277.46</v>
      </c>
    </row>
    <row r="460" spans="1:10">
      <c r="A460" t="s">
        <v>535</v>
      </c>
      <c r="B460" t="s">
        <v>536</v>
      </c>
      <c r="C460" t="s">
        <v>11</v>
      </c>
      <c r="D460" t="s">
        <v>536</v>
      </c>
      <c r="E460" t="s">
        <v>540</v>
      </c>
      <c r="F460" t="s">
        <v>23</v>
      </c>
      <c r="G460" s="91">
        <v>6765472</v>
      </c>
      <c r="H460" s="91"/>
      <c r="I460" s="91">
        <v>0.4</v>
      </c>
      <c r="J460" s="91">
        <v>2706188.8</v>
      </c>
    </row>
    <row r="461" spans="1:10">
      <c r="A461" t="s">
        <v>535</v>
      </c>
      <c r="B461" t="s">
        <v>536</v>
      </c>
      <c r="C461" t="s">
        <v>11</v>
      </c>
      <c r="D461" t="s">
        <v>536</v>
      </c>
      <c r="E461" t="s">
        <v>541</v>
      </c>
      <c r="F461" t="s">
        <v>23</v>
      </c>
      <c r="G461" s="91">
        <v>7260681</v>
      </c>
      <c r="H461" s="91"/>
      <c r="I461" s="91">
        <v>0.37</v>
      </c>
      <c r="J461" s="91">
        <v>2686451.97</v>
      </c>
    </row>
    <row r="462" spans="1:10">
      <c r="A462" t="s">
        <v>535</v>
      </c>
      <c r="B462" t="s">
        <v>536</v>
      </c>
      <c r="C462" t="s">
        <v>11</v>
      </c>
      <c r="D462" t="s">
        <v>536</v>
      </c>
      <c r="E462" t="s">
        <v>542</v>
      </c>
      <c r="F462" t="s">
        <v>23</v>
      </c>
      <c r="G462" s="91">
        <v>1781690</v>
      </c>
      <c r="H462" s="91"/>
      <c r="I462" s="91">
        <v>0.55</v>
      </c>
      <c r="J462" s="91">
        <v>979929.5</v>
      </c>
    </row>
    <row r="463" spans="1:10">
      <c r="A463" t="s">
        <v>535</v>
      </c>
      <c r="B463" t="s">
        <v>536</v>
      </c>
      <c r="C463" t="s">
        <v>11</v>
      </c>
      <c r="D463" t="s">
        <v>536</v>
      </c>
      <c r="E463" t="s">
        <v>543</v>
      </c>
      <c r="F463" t="s">
        <v>23</v>
      </c>
      <c r="G463" s="91">
        <v>316680</v>
      </c>
      <c r="H463" s="91"/>
      <c r="I463" s="91">
        <v>0.37</v>
      </c>
      <c r="J463" s="91">
        <v>117171.6</v>
      </c>
    </row>
    <row r="464" spans="1:10">
      <c r="A464" t="s">
        <v>535</v>
      </c>
      <c r="B464" t="s">
        <v>536</v>
      </c>
      <c r="C464" t="s">
        <v>11</v>
      </c>
      <c r="D464" t="s">
        <v>536</v>
      </c>
      <c r="E464" t="s">
        <v>544</v>
      </c>
      <c r="F464" t="s">
        <v>23</v>
      </c>
      <c r="G464" s="91">
        <v>4152150</v>
      </c>
      <c r="H464" s="91"/>
      <c r="I464" s="91">
        <v>0.92</v>
      </c>
      <c r="J464" s="91">
        <v>3819978</v>
      </c>
    </row>
    <row r="465" spans="1:10">
      <c r="A465" t="s">
        <v>535</v>
      </c>
      <c r="B465" t="s">
        <v>536</v>
      </c>
      <c r="C465" t="s">
        <v>11</v>
      </c>
      <c r="D465" t="s">
        <v>536</v>
      </c>
      <c r="E465" t="s">
        <v>545</v>
      </c>
      <c r="F465" t="s">
        <v>23</v>
      </c>
      <c r="G465" s="91">
        <v>2471292</v>
      </c>
      <c r="H465" s="91"/>
      <c r="I465" s="91">
        <v>0.92</v>
      </c>
      <c r="J465" s="91">
        <v>2273588.64</v>
      </c>
    </row>
    <row r="466" spans="1:10">
      <c r="A466" t="s">
        <v>535</v>
      </c>
      <c r="B466" t="s">
        <v>536</v>
      </c>
      <c r="C466" t="s">
        <v>11</v>
      </c>
      <c r="D466" t="s">
        <v>536</v>
      </c>
      <c r="E466" t="s">
        <v>546</v>
      </c>
      <c r="F466" t="s">
        <v>23</v>
      </c>
      <c r="G466" s="91">
        <v>658694</v>
      </c>
      <c r="H466" s="91"/>
      <c r="I466" s="91">
        <v>1.1</v>
      </c>
      <c r="J466" s="91">
        <v>724563.4</v>
      </c>
    </row>
    <row r="467" spans="1:10">
      <c r="A467" t="s">
        <v>535</v>
      </c>
      <c r="B467" t="s">
        <v>536</v>
      </c>
      <c r="C467" t="s">
        <v>11</v>
      </c>
      <c r="D467" t="s">
        <v>536</v>
      </c>
      <c r="E467" t="s">
        <v>547</v>
      </c>
      <c r="F467" t="s">
        <v>49</v>
      </c>
      <c r="G467" s="91">
        <v>21931278</v>
      </c>
      <c r="H467" s="91"/>
      <c r="I467" s="91">
        <v>0.06</v>
      </c>
      <c r="J467" s="91">
        <v>1315876.68</v>
      </c>
    </row>
    <row r="468" spans="1:10">
      <c r="A468" t="s">
        <v>535</v>
      </c>
      <c r="B468" t="s">
        <v>536</v>
      </c>
      <c r="C468" t="s">
        <v>11</v>
      </c>
      <c r="D468" t="s">
        <v>536</v>
      </c>
      <c r="E468" t="s">
        <v>548</v>
      </c>
      <c r="F468" t="s">
        <v>23</v>
      </c>
      <c r="G468" s="91">
        <v>4942583</v>
      </c>
      <c r="H468" s="91"/>
      <c r="I468" s="91">
        <v>0.25</v>
      </c>
      <c r="J468" s="91">
        <v>1235645.75</v>
      </c>
    </row>
    <row r="469" spans="1:10">
      <c r="A469" t="s">
        <v>535</v>
      </c>
      <c r="B469" t="s">
        <v>536</v>
      </c>
      <c r="C469" t="s">
        <v>11</v>
      </c>
      <c r="D469" t="s">
        <v>536</v>
      </c>
      <c r="E469" t="s">
        <v>549</v>
      </c>
      <c r="F469" t="s">
        <v>23</v>
      </c>
      <c r="G469" s="91">
        <v>215738</v>
      </c>
      <c r="H469" s="91"/>
      <c r="I469" s="91">
        <v>1.26</v>
      </c>
      <c r="J469" s="91">
        <v>271829.88</v>
      </c>
    </row>
    <row r="470" spans="1:10">
      <c r="A470" t="s">
        <v>535</v>
      </c>
      <c r="B470" t="s">
        <v>536</v>
      </c>
      <c r="C470" t="s">
        <v>11</v>
      </c>
      <c r="D470" t="s">
        <v>536</v>
      </c>
      <c r="E470" t="s">
        <v>550</v>
      </c>
      <c r="F470" t="s">
        <v>23</v>
      </c>
      <c r="G470" s="91">
        <v>6964660</v>
      </c>
      <c r="H470" s="91"/>
      <c r="I470" s="91">
        <v>1.58</v>
      </c>
      <c r="J470" s="91">
        <v>11004162.8</v>
      </c>
    </row>
    <row r="471" spans="1:10">
      <c r="A471" t="s">
        <v>535</v>
      </c>
      <c r="B471" t="s">
        <v>536</v>
      </c>
      <c r="C471" t="s">
        <v>11</v>
      </c>
      <c r="D471" t="s">
        <v>536</v>
      </c>
      <c r="E471" t="s">
        <v>551</v>
      </c>
      <c r="F471" t="s">
        <v>49</v>
      </c>
      <c r="G471" s="92">
        <v>25418320</v>
      </c>
      <c r="H471" s="91"/>
      <c r="I471" s="91">
        <v>0.06</v>
      </c>
      <c r="J471" s="91">
        <v>1525099.2</v>
      </c>
    </row>
    <row r="472" spans="1:10">
      <c r="A472" t="s">
        <v>535</v>
      </c>
      <c r="B472" t="s">
        <v>536</v>
      </c>
      <c r="C472" t="s">
        <v>11</v>
      </c>
      <c r="D472" t="s">
        <v>536</v>
      </c>
      <c r="E472" t="s">
        <v>552</v>
      </c>
      <c r="F472" t="s">
        <v>23</v>
      </c>
      <c r="G472" s="91">
        <v>3209552</v>
      </c>
      <c r="H472" s="91"/>
      <c r="I472" s="91">
        <v>0.15</v>
      </c>
      <c r="J472" s="91">
        <v>481432.8</v>
      </c>
    </row>
    <row r="473" spans="1:10">
      <c r="A473" t="s">
        <v>535</v>
      </c>
      <c r="B473" t="s">
        <v>536</v>
      </c>
      <c r="C473" t="s">
        <v>11</v>
      </c>
      <c r="D473" t="s">
        <v>536</v>
      </c>
      <c r="E473" t="s">
        <v>553</v>
      </c>
      <c r="F473" t="s">
        <v>23</v>
      </c>
      <c r="G473" s="91">
        <v>3209552</v>
      </c>
      <c r="H473" s="91"/>
      <c r="I473" s="91">
        <v>0.15</v>
      </c>
      <c r="J473" s="91">
        <v>481432.8</v>
      </c>
    </row>
    <row r="474" spans="1:10">
      <c r="A474" t="s">
        <v>535</v>
      </c>
      <c r="B474" t="s">
        <v>536</v>
      </c>
      <c r="C474" t="s">
        <v>11</v>
      </c>
      <c r="D474" t="s">
        <v>536</v>
      </c>
      <c r="E474" t="s">
        <v>554</v>
      </c>
      <c r="F474" t="s">
        <v>42</v>
      </c>
      <c r="G474" s="91">
        <v>1358068</v>
      </c>
      <c r="H474" s="91"/>
      <c r="I474" s="91">
        <v>0.02</v>
      </c>
      <c r="J474" s="91">
        <v>27161.36</v>
      </c>
    </row>
    <row r="475" spans="1:10">
      <c r="A475" t="s">
        <v>535</v>
      </c>
      <c r="B475" t="s">
        <v>536</v>
      </c>
      <c r="C475" t="s">
        <v>11</v>
      </c>
      <c r="D475" t="s">
        <v>536</v>
      </c>
      <c r="E475" t="s">
        <v>555</v>
      </c>
      <c r="F475" t="s">
        <v>23</v>
      </c>
      <c r="G475" s="91">
        <v>4942583</v>
      </c>
      <c r="H475" s="91"/>
      <c r="I475" s="91">
        <v>0.33</v>
      </c>
      <c r="J475" s="91">
        <v>1631052.39</v>
      </c>
    </row>
    <row r="476" spans="1:10">
      <c r="A476" t="s">
        <v>535</v>
      </c>
      <c r="B476" t="s">
        <v>536</v>
      </c>
      <c r="C476" t="s">
        <v>11</v>
      </c>
      <c r="D476" t="s">
        <v>536</v>
      </c>
      <c r="E476" t="s">
        <v>556</v>
      </c>
      <c r="F476" t="s">
        <v>23</v>
      </c>
      <c r="G476" s="91">
        <v>455623</v>
      </c>
      <c r="H476" s="91"/>
      <c r="I476" s="91">
        <v>0.04</v>
      </c>
      <c r="J476" s="91">
        <v>18224.92</v>
      </c>
    </row>
    <row r="477" spans="1:10">
      <c r="A477" t="s">
        <v>535</v>
      </c>
      <c r="B477" t="s">
        <v>536</v>
      </c>
      <c r="C477" t="s">
        <v>20</v>
      </c>
      <c r="D477" t="s">
        <v>457</v>
      </c>
      <c r="E477" t="s">
        <v>557</v>
      </c>
      <c r="F477" t="s">
        <v>23</v>
      </c>
      <c r="G477" s="91">
        <v>700</v>
      </c>
      <c r="H477" s="91"/>
      <c r="I477" s="91">
        <v>50</v>
      </c>
      <c r="J477" s="91">
        <v>35000</v>
      </c>
    </row>
    <row r="478" spans="1:10">
      <c r="A478" t="s">
        <v>535</v>
      </c>
      <c r="B478" t="s">
        <v>536</v>
      </c>
      <c r="C478" t="s">
        <v>20</v>
      </c>
      <c r="D478" t="s">
        <v>457</v>
      </c>
      <c r="E478" t="s">
        <v>558</v>
      </c>
      <c r="F478" t="s">
        <v>23</v>
      </c>
      <c r="G478" s="91">
        <v>1000</v>
      </c>
      <c r="H478" s="91"/>
      <c r="I478" s="91">
        <v>50</v>
      </c>
      <c r="J478" s="91">
        <v>50000</v>
      </c>
    </row>
    <row r="479" spans="1:10">
      <c r="A479" t="s">
        <v>535</v>
      </c>
      <c r="B479" t="s">
        <v>536</v>
      </c>
      <c r="C479" t="s">
        <v>20</v>
      </c>
      <c r="D479" t="s">
        <v>457</v>
      </c>
      <c r="E479" t="s">
        <v>559</v>
      </c>
      <c r="F479" t="s">
        <v>23</v>
      </c>
      <c r="G479" s="91">
        <v>900</v>
      </c>
      <c r="H479" s="91"/>
      <c r="I479" s="91">
        <v>50</v>
      </c>
      <c r="J479" s="91">
        <v>45000</v>
      </c>
    </row>
    <row r="480" spans="1:10">
      <c r="A480" t="s">
        <v>535</v>
      </c>
      <c r="B480" t="s">
        <v>536</v>
      </c>
      <c r="C480" t="s">
        <v>20</v>
      </c>
      <c r="D480" t="s">
        <v>457</v>
      </c>
      <c r="E480" t="s">
        <v>560</v>
      </c>
      <c r="F480" t="s">
        <v>23</v>
      </c>
      <c r="G480" s="91">
        <v>1500</v>
      </c>
      <c r="H480" s="91"/>
      <c r="I480" s="91">
        <v>55</v>
      </c>
      <c r="J480" s="91">
        <v>82500</v>
      </c>
    </row>
    <row r="481" spans="1:10">
      <c r="A481" t="s">
        <v>535</v>
      </c>
      <c r="B481" t="s">
        <v>536</v>
      </c>
      <c r="C481" t="s">
        <v>20</v>
      </c>
      <c r="D481" t="s">
        <v>457</v>
      </c>
      <c r="E481" t="s">
        <v>561</v>
      </c>
      <c r="F481" t="s">
        <v>23</v>
      </c>
      <c r="G481" s="91">
        <v>500</v>
      </c>
      <c r="H481" s="91"/>
      <c r="I481" s="91">
        <v>60</v>
      </c>
      <c r="J481" s="91">
        <v>30000</v>
      </c>
    </row>
    <row r="482" spans="1:10">
      <c r="A482" t="s">
        <v>535</v>
      </c>
      <c r="B482" t="s">
        <v>536</v>
      </c>
      <c r="C482" t="s">
        <v>20</v>
      </c>
      <c r="D482" t="s">
        <v>457</v>
      </c>
      <c r="E482" t="s">
        <v>562</v>
      </c>
      <c r="F482" t="s">
        <v>23</v>
      </c>
      <c r="G482" s="91">
        <v>1000</v>
      </c>
      <c r="H482" s="91"/>
      <c r="I482" s="91">
        <v>65</v>
      </c>
      <c r="J482" s="91">
        <v>65000</v>
      </c>
    </row>
    <row r="483" spans="1:10">
      <c r="A483" t="s">
        <v>535</v>
      </c>
      <c r="B483" t="s">
        <v>536</v>
      </c>
      <c r="C483" t="s">
        <v>20</v>
      </c>
      <c r="D483" t="s">
        <v>457</v>
      </c>
      <c r="E483" t="s">
        <v>563</v>
      </c>
      <c r="F483" t="s">
        <v>23</v>
      </c>
      <c r="G483" s="91">
        <v>200</v>
      </c>
      <c r="H483" s="91"/>
      <c r="I483" s="91">
        <v>50</v>
      </c>
      <c r="J483" s="91">
        <v>10000</v>
      </c>
    </row>
    <row r="484" spans="1:10">
      <c r="A484" t="s">
        <v>535</v>
      </c>
      <c r="B484" t="s">
        <v>536</v>
      </c>
      <c r="C484" t="s">
        <v>20</v>
      </c>
      <c r="D484" t="s">
        <v>457</v>
      </c>
      <c r="E484" t="s">
        <v>564</v>
      </c>
      <c r="F484" t="s">
        <v>23</v>
      </c>
      <c r="G484" s="91">
        <v>50</v>
      </c>
      <c r="H484" s="91"/>
      <c r="I484" s="91">
        <v>300</v>
      </c>
      <c r="J484" s="91">
        <v>15000</v>
      </c>
    </row>
    <row r="485" spans="1:10">
      <c r="A485" t="s">
        <v>535</v>
      </c>
      <c r="B485" t="s">
        <v>536</v>
      </c>
      <c r="C485" t="s">
        <v>20</v>
      </c>
      <c r="D485" t="s">
        <v>457</v>
      </c>
      <c r="E485" t="s">
        <v>565</v>
      </c>
      <c r="F485" t="s">
        <v>23</v>
      </c>
      <c r="G485" s="91">
        <v>50</v>
      </c>
      <c r="H485" s="91"/>
      <c r="I485" s="91">
        <v>600</v>
      </c>
      <c r="J485" s="91">
        <v>30000</v>
      </c>
    </row>
    <row r="486" spans="1:10">
      <c r="A486" t="s">
        <v>535</v>
      </c>
      <c r="B486" t="s">
        <v>536</v>
      </c>
      <c r="C486" t="s">
        <v>20</v>
      </c>
      <c r="D486" t="s">
        <v>457</v>
      </c>
      <c r="E486" t="s">
        <v>458</v>
      </c>
      <c r="F486" t="s">
        <v>23</v>
      </c>
      <c r="G486" s="91">
        <v>2200</v>
      </c>
      <c r="H486" s="91"/>
      <c r="I486" s="91">
        <v>125</v>
      </c>
      <c r="J486" s="91">
        <v>275000</v>
      </c>
    </row>
    <row r="487" spans="1:10">
      <c r="A487" t="s">
        <v>535</v>
      </c>
      <c r="B487" t="s">
        <v>536</v>
      </c>
      <c r="C487" t="s">
        <v>20</v>
      </c>
      <c r="D487" t="s">
        <v>457</v>
      </c>
      <c r="E487" t="s">
        <v>566</v>
      </c>
      <c r="F487" t="s">
        <v>23</v>
      </c>
      <c r="G487" s="91">
        <v>5000</v>
      </c>
      <c r="H487" s="91"/>
      <c r="I487" s="91">
        <v>390</v>
      </c>
      <c r="J487" s="91">
        <v>1950000</v>
      </c>
    </row>
    <row r="488" spans="1:10">
      <c r="A488" t="s">
        <v>535</v>
      </c>
      <c r="B488" t="s">
        <v>536</v>
      </c>
      <c r="C488" t="s">
        <v>20</v>
      </c>
      <c r="D488" t="s">
        <v>457</v>
      </c>
      <c r="E488" t="s">
        <v>567</v>
      </c>
      <c r="F488" t="s">
        <v>23</v>
      </c>
      <c r="G488" s="91">
        <v>1050</v>
      </c>
      <c r="H488" s="91"/>
      <c r="I488" s="91">
        <v>370</v>
      </c>
      <c r="J488" s="91">
        <v>388500</v>
      </c>
    </row>
    <row r="489" spans="1:10">
      <c r="A489" t="s">
        <v>535</v>
      </c>
      <c r="B489" t="s">
        <v>536</v>
      </c>
      <c r="C489" t="s">
        <v>20</v>
      </c>
      <c r="D489" t="s">
        <v>457</v>
      </c>
      <c r="E489" t="s">
        <v>568</v>
      </c>
      <c r="F489" t="s">
        <v>23</v>
      </c>
      <c r="G489" s="91">
        <v>5000</v>
      </c>
      <c r="H489" s="91"/>
      <c r="I489" s="91">
        <v>7</v>
      </c>
      <c r="J489" s="91">
        <v>35000</v>
      </c>
    </row>
    <row r="490" spans="1:10">
      <c r="A490" t="s">
        <v>535</v>
      </c>
      <c r="B490" t="s">
        <v>536</v>
      </c>
      <c r="C490" t="s">
        <v>20</v>
      </c>
      <c r="D490" t="s">
        <v>457</v>
      </c>
      <c r="E490" t="s">
        <v>569</v>
      </c>
      <c r="F490" t="s">
        <v>23</v>
      </c>
      <c r="G490" s="91">
        <v>3200</v>
      </c>
      <c r="H490" s="91"/>
      <c r="I490" s="91">
        <v>200</v>
      </c>
      <c r="J490" s="91">
        <v>640000</v>
      </c>
    </row>
    <row r="491" spans="1:10">
      <c r="A491" t="s">
        <v>535</v>
      </c>
      <c r="B491" t="s">
        <v>536</v>
      </c>
      <c r="C491" t="s">
        <v>20</v>
      </c>
      <c r="D491" t="s">
        <v>457</v>
      </c>
      <c r="E491" t="s">
        <v>570</v>
      </c>
      <c r="F491" t="s">
        <v>23</v>
      </c>
      <c r="G491" s="91">
        <v>3000</v>
      </c>
      <c r="H491" s="91"/>
      <c r="I491" s="91">
        <v>55</v>
      </c>
      <c r="J491" s="91">
        <v>165000</v>
      </c>
    </row>
    <row r="492" spans="1:10">
      <c r="A492" t="s">
        <v>535</v>
      </c>
      <c r="B492" t="s">
        <v>536</v>
      </c>
      <c r="C492" t="s">
        <v>20</v>
      </c>
      <c r="D492" t="s">
        <v>457</v>
      </c>
      <c r="E492" t="s">
        <v>571</v>
      </c>
      <c r="F492" t="s">
        <v>23</v>
      </c>
      <c r="G492" s="91">
        <v>10</v>
      </c>
      <c r="H492" s="91"/>
      <c r="I492" s="91">
        <v>150</v>
      </c>
      <c r="J492" s="91">
        <v>1500</v>
      </c>
    </row>
    <row r="493" spans="1:10">
      <c r="A493" t="s">
        <v>535</v>
      </c>
      <c r="B493" t="s">
        <v>536</v>
      </c>
      <c r="C493" t="s">
        <v>20</v>
      </c>
      <c r="D493" t="s">
        <v>457</v>
      </c>
      <c r="E493" t="s">
        <v>572</v>
      </c>
      <c r="F493" t="s">
        <v>23</v>
      </c>
      <c r="G493" s="91">
        <v>20000</v>
      </c>
      <c r="H493" s="91"/>
      <c r="I493" s="91">
        <v>4</v>
      </c>
      <c r="J493" s="91">
        <v>80000</v>
      </c>
    </row>
    <row r="494" spans="1:10">
      <c r="A494" t="s">
        <v>535</v>
      </c>
      <c r="B494" t="s">
        <v>536</v>
      </c>
      <c r="C494" t="s">
        <v>20</v>
      </c>
      <c r="D494" t="s">
        <v>61</v>
      </c>
      <c r="E494" t="s">
        <v>573</v>
      </c>
      <c r="F494" t="s">
        <v>23</v>
      </c>
      <c r="G494" s="91">
        <v>10</v>
      </c>
      <c r="H494" s="91"/>
      <c r="I494" s="91">
        <v>110</v>
      </c>
      <c r="J494" s="91">
        <v>1100</v>
      </c>
    </row>
    <row r="495" spans="1:10">
      <c r="A495" t="s">
        <v>535</v>
      </c>
      <c r="B495" t="s">
        <v>536</v>
      </c>
      <c r="C495" t="s">
        <v>20</v>
      </c>
      <c r="D495" t="s">
        <v>61</v>
      </c>
      <c r="E495" t="s">
        <v>574</v>
      </c>
      <c r="F495" t="s">
        <v>23</v>
      </c>
      <c r="G495" s="91">
        <v>50</v>
      </c>
      <c r="H495" s="91"/>
      <c r="I495" s="91">
        <v>600</v>
      </c>
      <c r="J495" s="91">
        <v>30000</v>
      </c>
    </row>
    <row r="496" spans="1:10">
      <c r="A496" t="s">
        <v>535</v>
      </c>
      <c r="B496" t="s">
        <v>536</v>
      </c>
      <c r="C496" t="s">
        <v>20</v>
      </c>
      <c r="D496" t="s">
        <v>61</v>
      </c>
      <c r="E496" t="s">
        <v>575</v>
      </c>
      <c r="F496" t="s">
        <v>23</v>
      </c>
      <c r="G496" s="91">
        <v>20</v>
      </c>
      <c r="H496" s="91"/>
      <c r="I496" s="91">
        <v>3800</v>
      </c>
      <c r="J496" s="91">
        <v>76000</v>
      </c>
    </row>
    <row r="497" spans="1:10">
      <c r="A497" t="s">
        <v>535</v>
      </c>
      <c r="B497" t="s">
        <v>536</v>
      </c>
      <c r="C497" t="s">
        <v>20</v>
      </c>
      <c r="D497" t="s">
        <v>576</v>
      </c>
      <c r="E497" t="s">
        <v>577</v>
      </c>
      <c r="F497" t="s">
        <v>23</v>
      </c>
      <c r="G497" s="91">
        <v>10500</v>
      </c>
      <c r="H497" s="91"/>
      <c r="I497" s="91">
        <v>21</v>
      </c>
      <c r="J497" s="91">
        <v>220500</v>
      </c>
    </row>
    <row r="498" spans="1:10">
      <c r="A498" t="s">
        <v>535</v>
      </c>
      <c r="B498" t="s">
        <v>536</v>
      </c>
      <c r="C498" t="s">
        <v>20</v>
      </c>
      <c r="D498" t="s">
        <v>268</v>
      </c>
      <c r="E498" t="s">
        <v>578</v>
      </c>
      <c r="F498" t="s">
        <v>42</v>
      </c>
      <c r="G498" s="91">
        <v>100</v>
      </c>
      <c r="H498" s="91"/>
      <c r="I498" s="91">
        <v>150</v>
      </c>
      <c r="J498" s="91">
        <v>15000</v>
      </c>
    </row>
    <row r="499" spans="1:10">
      <c r="A499" t="s">
        <v>535</v>
      </c>
      <c r="B499" t="s">
        <v>536</v>
      </c>
      <c r="C499" t="s">
        <v>20</v>
      </c>
      <c r="D499" t="s">
        <v>114</v>
      </c>
      <c r="E499" t="s">
        <v>579</v>
      </c>
      <c r="F499" t="s">
        <v>23</v>
      </c>
      <c r="G499" s="91">
        <v>0</v>
      </c>
      <c r="H499" s="91"/>
      <c r="I499" s="91">
        <v>0</v>
      </c>
      <c r="J499" s="91">
        <v>0</v>
      </c>
    </row>
    <row r="500" spans="1:10">
      <c r="A500" t="s">
        <v>580</v>
      </c>
      <c r="B500" t="s">
        <v>581</v>
      </c>
      <c r="C500" t="s">
        <v>11</v>
      </c>
      <c r="D500" t="s">
        <v>12</v>
      </c>
      <c r="E500" t="s">
        <v>13</v>
      </c>
      <c r="F500" t="s">
        <v>14</v>
      </c>
      <c r="G500" s="91">
        <v>2700</v>
      </c>
      <c r="H500" s="91"/>
      <c r="I500" s="91">
        <v>440</v>
      </c>
      <c r="J500" s="91">
        <v>1188000</v>
      </c>
    </row>
    <row r="501" spans="1:10">
      <c r="A501" t="s">
        <v>582</v>
      </c>
      <c r="B501" t="s">
        <v>583</v>
      </c>
      <c r="C501" t="s">
        <v>11</v>
      </c>
      <c r="D501" t="s">
        <v>12</v>
      </c>
      <c r="E501" t="s">
        <v>13</v>
      </c>
      <c r="F501" t="s">
        <v>14</v>
      </c>
      <c r="G501" s="91">
        <v>981</v>
      </c>
      <c r="H501" s="91"/>
      <c r="I501" s="91">
        <v>440</v>
      </c>
      <c r="J501" s="91">
        <v>431640</v>
      </c>
    </row>
    <row r="502" spans="1:10">
      <c r="A502" t="s">
        <v>584</v>
      </c>
      <c r="B502" t="s">
        <v>585</v>
      </c>
      <c r="C502" t="s">
        <v>11</v>
      </c>
      <c r="D502" t="s">
        <v>12</v>
      </c>
      <c r="E502" t="s">
        <v>13</v>
      </c>
      <c r="F502" t="s">
        <v>14</v>
      </c>
      <c r="G502" s="91">
        <v>2181</v>
      </c>
      <c r="H502" s="91"/>
      <c r="I502" s="91">
        <v>440</v>
      </c>
      <c r="J502" s="91">
        <v>959640</v>
      </c>
    </row>
    <row r="503" spans="1:10">
      <c r="A503" t="s">
        <v>586</v>
      </c>
      <c r="B503" t="s">
        <v>587</v>
      </c>
      <c r="C503" t="s">
        <v>35</v>
      </c>
      <c r="D503" t="s">
        <v>36</v>
      </c>
      <c r="E503" t="s">
        <v>499</v>
      </c>
      <c r="F503" t="s">
        <v>14</v>
      </c>
      <c r="G503" s="91">
        <v>1</v>
      </c>
      <c r="H503" s="91"/>
      <c r="I503" s="91">
        <v>95000</v>
      </c>
      <c r="J503" s="91">
        <v>95000</v>
      </c>
    </row>
    <row r="504" spans="1:10">
      <c r="A504" t="s">
        <v>586</v>
      </c>
      <c r="B504" t="s">
        <v>587</v>
      </c>
      <c r="C504" t="s">
        <v>11</v>
      </c>
      <c r="D504" t="s">
        <v>40</v>
      </c>
      <c r="E504" t="s">
        <v>588</v>
      </c>
      <c r="F504" t="s">
        <v>589</v>
      </c>
      <c r="G504" s="91">
        <v>1</v>
      </c>
      <c r="H504" s="91"/>
      <c r="I504" s="91">
        <v>64800</v>
      </c>
      <c r="J504" s="91">
        <v>64800</v>
      </c>
    </row>
    <row r="505" spans="1:10">
      <c r="A505" t="s">
        <v>590</v>
      </c>
      <c r="B505" t="s">
        <v>591</v>
      </c>
      <c r="C505" t="s">
        <v>20</v>
      </c>
      <c r="D505" t="s">
        <v>61</v>
      </c>
      <c r="E505" t="s">
        <v>592</v>
      </c>
      <c r="F505" t="s">
        <v>175</v>
      </c>
      <c r="G505" s="91">
        <v>1500</v>
      </c>
      <c r="H505" s="91"/>
      <c r="I505" s="91">
        <v>60</v>
      </c>
      <c r="J505" s="91">
        <v>90000</v>
      </c>
    </row>
    <row r="506" spans="1:10">
      <c r="A506" t="s">
        <v>590</v>
      </c>
      <c r="B506" t="s">
        <v>591</v>
      </c>
      <c r="C506" t="s">
        <v>20</v>
      </c>
      <c r="D506" t="s">
        <v>106</v>
      </c>
      <c r="E506" t="s">
        <v>593</v>
      </c>
      <c r="F506" t="s">
        <v>108</v>
      </c>
      <c r="G506" s="91">
        <v>200</v>
      </c>
      <c r="H506" s="91"/>
      <c r="I506" s="91">
        <v>200</v>
      </c>
      <c r="J506" s="91">
        <v>40000</v>
      </c>
    </row>
    <row r="507" spans="1:10">
      <c r="A507" t="s">
        <v>594</v>
      </c>
      <c r="B507" t="s">
        <v>595</v>
      </c>
      <c r="C507" t="s">
        <v>20</v>
      </c>
      <c r="D507" t="s">
        <v>102</v>
      </c>
      <c r="E507" t="s">
        <v>103</v>
      </c>
      <c r="F507" t="s">
        <v>46</v>
      </c>
      <c r="G507" s="91">
        <v>30.05</v>
      </c>
      <c r="H507" s="91"/>
      <c r="I507" s="91">
        <v>800</v>
      </c>
      <c r="J507" s="91">
        <v>24040</v>
      </c>
    </row>
    <row r="508" spans="1:10">
      <c r="A508" t="s">
        <v>594</v>
      </c>
      <c r="B508" t="s">
        <v>595</v>
      </c>
      <c r="C508" t="s">
        <v>20</v>
      </c>
      <c r="D508" t="s">
        <v>596</v>
      </c>
      <c r="E508" t="s">
        <v>597</v>
      </c>
      <c r="F508" t="s">
        <v>46</v>
      </c>
      <c r="G508" s="91">
        <v>156.195</v>
      </c>
      <c r="H508" s="91"/>
      <c r="I508" s="91">
        <v>2200</v>
      </c>
      <c r="J508" s="91">
        <v>343629</v>
      </c>
    </row>
    <row r="509" spans="1:10">
      <c r="A509" t="s">
        <v>594</v>
      </c>
      <c r="B509" t="s">
        <v>595</v>
      </c>
      <c r="C509" t="s">
        <v>11</v>
      </c>
      <c r="D509" t="s">
        <v>598</v>
      </c>
      <c r="E509" t="s">
        <v>599</v>
      </c>
      <c r="F509" t="s">
        <v>34</v>
      </c>
      <c r="G509" s="91">
        <v>1672.565</v>
      </c>
      <c r="H509" s="91"/>
      <c r="I509" s="91">
        <v>86.1099987145492</v>
      </c>
      <c r="J509" s="91">
        <v>144024.57</v>
      </c>
    </row>
    <row r="510" spans="1:10">
      <c r="A510" t="s">
        <v>594</v>
      </c>
      <c r="B510" t="s">
        <v>595</v>
      </c>
      <c r="C510" t="s">
        <v>20</v>
      </c>
      <c r="D510" t="s">
        <v>600</v>
      </c>
      <c r="E510" t="s">
        <v>601</v>
      </c>
      <c r="F510" t="s">
        <v>63</v>
      </c>
      <c r="G510" s="91">
        <v>8362.824</v>
      </c>
      <c r="H510" s="91"/>
      <c r="I510" s="91">
        <v>0.0800004878734743</v>
      </c>
      <c r="J510" s="91">
        <v>669.03</v>
      </c>
    </row>
    <row r="511" spans="1:10">
      <c r="A511" t="s">
        <v>602</v>
      </c>
      <c r="B511" t="s">
        <v>603</v>
      </c>
      <c r="C511" t="s">
        <v>11</v>
      </c>
      <c r="D511" t="s">
        <v>24</v>
      </c>
      <c r="E511" t="s">
        <v>604</v>
      </c>
      <c r="F511" t="s">
        <v>34</v>
      </c>
      <c r="G511" s="91">
        <v>15363.297</v>
      </c>
      <c r="H511" s="91"/>
      <c r="I511" s="91">
        <v>50</v>
      </c>
      <c r="J511" s="91">
        <v>768164.85</v>
      </c>
    </row>
    <row r="512" spans="1:10">
      <c r="A512" t="s">
        <v>602</v>
      </c>
      <c r="B512" t="s">
        <v>603</v>
      </c>
      <c r="C512" t="s">
        <v>11</v>
      </c>
      <c r="D512" t="s">
        <v>24</v>
      </c>
      <c r="E512" t="s">
        <v>605</v>
      </c>
      <c r="F512" t="s">
        <v>34</v>
      </c>
      <c r="G512" s="91">
        <v>3138.722</v>
      </c>
      <c r="H512" s="91"/>
      <c r="I512" s="91">
        <v>80</v>
      </c>
      <c r="J512" s="91">
        <v>251097.76</v>
      </c>
    </row>
    <row r="513" spans="1:10">
      <c r="A513" t="s">
        <v>602</v>
      </c>
      <c r="B513" t="s">
        <v>603</v>
      </c>
      <c r="C513" t="s">
        <v>11</v>
      </c>
      <c r="D513" t="s">
        <v>24</v>
      </c>
      <c r="E513" t="s">
        <v>606</v>
      </c>
      <c r="F513" t="s">
        <v>34</v>
      </c>
      <c r="G513" s="91">
        <v>15363.297</v>
      </c>
      <c r="H513" s="91"/>
      <c r="I513" s="91">
        <v>271.999999739639</v>
      </c>
      <c r="J513" s="91">
        <v>4178816.78</v>
      </c>
    </row>
    <row r="514" spans="1:10">
      <c r="A514" t="s">
        <v>602</v>
      </c>
      <c r="B514" t="s">
        <v>603</v>
      </c>
      <c r="C514" t="s">
        <v>20</v>
      </c>
      <c r="D514" t="s">
        <v>47</v>
      </c>
      <c r="E514" t="s">
        <v>50</v>
      </c>
      <c r="F514" t="s">
        <v>49</v>
      </c>
      <c r="G514" s="91">
        <v>460.899</v>
      </c>
      <c r="H514" s="91"/>
      <c r="I514" s="91">
        <v>60</v>
      </c>
      <c r="J514" s="91">
        <v>27653.94</v>
      </c>
    </row>
    <row r="515" spans="1:10">
      <c r="A515" t="s">
        <v>602</v>
      </c>
      <c r="B515" t="s">
        <v>603</v>
      </c>
      <c r="C515" t="s">
        <v>20</v>
      </c>
      <c r="D515" t="s">
        <v>61</v>
      </c>
      <c r="E515" t="s">
        <v>78</v>
      </c>
      <c r="F515" t="s">
        <v>49</v>
      </c>
      <c r="G515" s="91">
        <v>430.07</v>
      </c>
      <c r="H515" s="91"/>
      <c r="I515" s="91">
        <v>95</v>
      </c>
      <c r="J515" s="91">
        <v>40856.65</v>
      </c>
    </row>
    <row r="516" spans="1:10">
      <c r="A516" t="s">
        <v>602</v>
      </c>
      <c r="B516" t="s">
        <v>603</v>
      </c>
      <c r="C516" t="s">
        <v>20</v>
      </c>
      <c r="D516" t="s">
        <v>61</v>
      </c>
      <c r="E516" t="s">
        <v>607</v>
      </c>
      <c r="F516" t="s">
        <v>23</v>
      </c>
      <c r="G516" s="91">
        <v>172.028</v>
      </c>
      <c r="H516" s="91"/>
      <c r="I516" s="91">
        <v>115.200025577232</v>
      </c>
      <c r="J516" s="91">
        <v>19817.63</v>
      </c>
    </row>
    <row r="517" spans="1:10">
      <c r="A517" t="s">
        <v>602</v>
      </c>
      <c r="B517" t="s">
        <v>603</v>
      </c>
      <c r="C517" t="s">
        <v>20</v>
      </c>
      <c r="D517" t="s">
        <v>84</v>
      </c>
      <c r="E517" t="s">
        <v>86</v>
      </c>
      <c r="F517" t="s">
        <v>49</v>
      </c>
      <c r="G517" s="91">
        <v>307.266</v>
      </c>
      <c r="H517" s="91"/>
      <c r="I517" s="91">
        <v>60</v>
      </c>
      <c r="J517" s="91">
        <v>18435.96</v>
      </c>
    </row>
    <row r="518" spans="1:10">
      <c r="A518" t="s">
        <v>602</v>
      </c>
      <c r="B518" t="s">
        <v>603</v>
      </c>
      <c r="C518" t="s">
        <v>20</v>
      </c>
      <c r="D518" t="s">
        <v>84</v>
      </c>
      <c r="E518" t="s">
        <v>88</v>
      </c>
      <c r="F518" t="s">
        <v>49</v>
      </c>
      <c r="G518" s="91">
        <v>614.532</v>
      </c>
      <c r="H518" s="91"/>
      <c r="I518" s="91">
        <v>60</v>
      </c>
      <c r="J518" s="91">
        <v>36871.92</v>
      </c>
    </row>
    <row r="519" spans="1:10">
      <c r="A519" t="s">
        <v>602</v>
      </c>
      <c r="B519" t="s">
        <v>603</v>
      </c>
      <c r="C519" t="s">
        <v>20</v>
      </c>
      <c r="D519" t="s">
        <v>84</v>
      </c>
      <c r="E519" t="s">
        <v>89</v>
      </c>
      <c r="F519" t="s">
        <v>49</v>
      </c>
      <c r="G519" s="91">
        <v>614.532</v>
      </c>
      <c r="H519" s="91"/>
      <c r="I519" s="91">
        <v>60</v>
      </c>
      <c r="J519" s="91">
        <v>36871.92</v>
      </c>
    </row>
    <row r="520" spans="1:10">
      <c r="A520" t="s">
        <v>602</v>
      </c>
      <c r="B520" t="s">
        <v>603</v>
      </c>
      <c r="C520" t="s">
        <v>20</v>
      </c>
      <c r="D520" t="s">
        <v>84</v>
      </c>
      <c r="E520" t="s">
        <v>608</v>
      </c>
      <c r="F520" t="s">
        <v>100</v>
      </c>
      <c r="G520" s="91">
        <v>20663.634</v>
      </c>
      <c r="H520" s="91"/>
      <c r="I520" s="91">
        <v>67.0000000967884</v>
      </c>
      <c r="J520" s="91">
        <v>1384463.48</v>
      </c>
    </row>
    <row r="521" spans="1:10">
      <c r="A521" t="s">
        <v>602</v>
      </c>
      <c r="B521" t="s">
        <v>603</v>
      </c>
      <c r="C521" t="s">
        <v>20</v>
      </c>
      <c r="D521" t="s">
        <v>84</v>
      </c>
      <c r="E521" t="s">
        <v>609</v>
      </c>
      <c r="F521" t="s">
        <v>63</v>
      </c>
      <c r="G521" s="91">
        <v>614.532</v>
      </c>
      <c r="H521" s="91"/>
      <c r="I521" s="91">
        <v>135</v>
      </c>
      <c r="J521" s="91">
        <v>82961.82</v>
      </c>
    </row>
    <row r="522" spans="1:10">
      <c r="A522" t="s">
        <v>602</v>
      </c>
      <c r="B522" t="s">
        <v>603</v>
      </c>
      <c r="C522" t="s">
        <v>20</v>
      </c>
      <c r="D522" t="s">
        <v>84</v>
      </c>
      <c r="E522" t="s">
        <v>610</v>
      </c>
      <c r="F522" t="s">
        <v>611</v>
      </c>
      <c r="G522" s="91">
        <v>1413.423</v>
      </c>
      <c r="H522" s="91"/>
      <c r="I522" s="91">
        <v>395.000003537511</v>
      </c>
      <c r="J522" s="91">
        <v>558302.09</v>
      </c>
    </row>
    <row r="523" spans="1:10">
      <c r="A523" t="s">
        <v>602</v>
      </c>
      <c r="B523" t="s">
        <v>603</v>
      </c>
      <c r="C523" t="s">
        <v>20</v>
      </c>
      <c r="D523" t="s">
        <v>84</v>
      </c>
      <c r="E523" t="s">
        <v>612</v>
      </c>
      <c r="F523" t="s">
        <v>611</v>
      </c>
      <c r="G523" s="91">
        <v>1106.157</v>
      </c>
      <c r="H523" s="91"/>
      <c r="I523" s="91">
        <v>295.000004520154</v>
      </c>
      <c r="J523" s="91">
        <v>326316.32</v>
      </c>
    </row>
    <row r="524" spans="1:10">
      <c r="A524" t="s">
        <v>602</v>
      </c>
      <c r="B524" t="s">
        <v>603</v>
      </c>
      <c r="C524" t="s">
        <v>11</v>
      </c>
      <c r="D524" t="s">
        <v>613</v>
      </c>
      <c r="E524" t="s">
        <v>614</v>
      </c>
      <c r="F524" t="s">
        <v>108</v>
      </c>
      <c r="G524" s="91">
        <v>1597.783</v>
      </c>
      <c r="H524" s="91"/>
      <c r="I524" s="91">
        <v>40</v>
      </c>
      <c r="J524" s="91">
        <v>63911.32</v>
      </c>
    </row>
    <row r="525" spans="1:10">
      <c r="A525" t="s">
        <v>602</v>
      </c>
      <c r="B525" t="s">
        <v>603</v>
      </c>
      <c r="C525" t="s">
        <v>11</v>
      </c>
      <c r="D525" t="s">
        <v>613</v>
      </c>
      <c r="E525" t="s">
        <v>615</v>
      </c>
      <c r="F525" t="s">
        <v>108</v>
      </c>
      <c r="G525" s="91">
        <v>1597.783</v>
      </c>
      <c r="H525" s="91"/>
      <c r="I525" s="91">
        <v>30</v>
      </c>
      <c r="J525" s="91">
        <v>47933.49</v>
      </c>
    </row>
    <row r="526" spans="1:10">
      <c r="A526" t="s">
        <v>616</v>
      </c>
      <c r="B526" t="s">
        <v>617</v>
      </c>
      <c r="C526" t="s">
        <v>11</v>
      </c>
      <c r="D526" t="s">
        <v>618</v>
      </c>
      <c r="E526" t="s">
        <v>619</v>
      </c>
      <c r="F526" t="s">
        <v>23</v>
      </c>
      <c r="G526" s="91">
        <v>6.944</v>
      </c>
      <c r="H526" s="91"/>
      <c r="I526" s="91">
        <v>4750</v>
      </c>
      <c r="J526" s="91">
        <v>32984</v>
      </c>
    </row>
    <row r="527" spans="1:10">
      <c r="A527" t="s">
        <v>616</v>
      </c>
      <c r="B527" t="s">
        <v>617</v>
      </c>
      <c r="C527" t="s">
        <v>11</v>
      </c>
      <c r="D527" t="s">
        <v>618</v>
      </c>
      <c r="E527" t="s">
        <v>620</v>
      </c>
      <c r="F527" t="s">
        <v>23</v>
      </c>
      <c r="G527" s="91">
        <v>0.992</v>
      </c>
      <c r="H527" s="91"/>
      <c r="I527" s="91">
        <v>2375</v>
      </c>
      <c r="J527" s="91">
        <v>2356</v>
      </c>
    </row>
    <row r="528" spans="1:10">
      <c r="A528" t="s">
        <v>616</v>
      </c>
      <c r="B528" t="s">
        <v>617</v>
      </c>
      <c r="C528" t="s">
        <v>11</v>
      </c>
      <c r="D528" t="s">
        <v>618</v>
      </c>
      <c r="E528" t="s">
        <v>621</v>
      </c>
      <c r="F528" t="s">
        <v>23</v>
      </c>
      <c r="G528" s="91">
        <v>0.166</v>
      </c>
      <c r="H528" s="91"/>
      <c r="I528" s="91">
        <v>3000</v>
      </c>
      <c r="J528" s="91">
        <v>498</v>
      </c>
    </row>
    <row r="529" spans="1:10">
      <c r="A529" t="s">
        <v>622</v>
      </c>
      <c r="B529" t="s">
        <v>623</v>
      </c>
      <c r="C529" t="s">
        <v>20</v>
      </c>
      <c r="D529" t="s">
        <v>47</v>
      </c>
      <c r="E529" t="s">
        <v>48</v>
      </c>
      <c r="F529" t="s">
        <v>49</v>
      </c>
      <c r="G529" s="91">
        <v>2694.684</v>
      </c>
      <c r="H529" s="91"/>
      <c r="I529" s="91">
        <v>75</v>
      </c>
      <c r="J529" s="91">
        <v>202101.3</v>
      </c>
    </row>
    <row r="530" spans="1:10">
      <c r="A530" t="s">
        <v>622</v>
      </c>
      <c r="B530" t="s">
        <v>623</v>
      </c>
      <c r="C530" t="s">
        <v>20</v>
      </c>
      <c r="D530" t="s">
        <v>624</v>
      </c>
      <c r="E530" t="s">
        <v>625</v>
      </c>
      <c r="F530" t="s">
        <v>23</v>
      </c>
      <c r="G530" s="91">
        <v>6736.71</v>
      </c>
      <c r="H530" s="91"/>
      <c r="I530" s="91">
        <v>0</v>
      </c>
      <c r="J530" s="91">
        <v>0</v>
      </c>
    </row>
    <row r="531" spans="1:10">
      <c r="A531" t="s">
        <v>622</v>
      </c>
      <c r="B531" t="s">
        <v>623</v>
      </c>
      <c r="C531" t="s">
        <v>20</v>
      </c>
      <c r="D531" t="s">
        <v>624</v>
      </c>
      <c r="E531" t="s">
        <v>626</v>
      </c>
      <c r="F531" t="s">
        <v>23</v>
      </c>
      <c r="G531" s="91">
        <v>6736.71</v>
      </c>
      <c r="H531" s="91"/>
      <c r="I531" s="91">
        <v>0.900000148440411</v>
      </c>
      <c r="J531" s="91">
        <v>6063.04</v>
      </c>
    </row>
    <row r="532" spans="1:10">
      <c r="A532" t="s">
        <v>622</v>
      </c>
      <c r="B532" t="s">
        <v>623</v>
      </c>
      <c r="C532" t="s">
        <v>20</v>
      </c>
      <c r="D532" t="s">
        <v>624</v>
      </c>
      <c r="E532" t="s">
        <v>627</v>
      </c>
      <c r="F532" t="s">
        <v>23</v>
      </c>
      <c r="G532" s="91">
        <v>6736.71</v>
      </c>
      <c r="H532" s="91"/>
      <c r="I532" s="91">
        <v>3.09999985155959</v>
      </c>
      <c r="J532" s="91">
        <v>20883.8</v>
      </c>
    </row>
    <row r="533" spans="1:10">
      <c r="A533" t="s">
        <v>622</v>
      </c>
      <c r="B533" t="s">
        <v>623</v>
      </c>
      <c r="C533" t="s">
        <v>20</v>
      </c>
      <c r="D533" t="s">
        <v>624</v>
      </c>
      <c r="E533" t="s">
        <v>628</v>
      </c>
      <c r="F533" t="s">
        <v>23</v>
      </c>
      <c r="G533" s="91">
        <v>8420.887</v>
      </c>
      <c r="H533" s="91"/>
      <c r="I533" s="91">
        <v>3.1000000356257</v>
      </c>
      <c r="J533" s="91">
        <v>26104.75</v>
      </c>
    </row>
    <row r="534" spans="1:10">
      <c r="A534" t="s">
        <v>622</v>
      </c>
      <c r="B534" t="s">
        <v>623</v>
      </c>
      <c r="C534" t="s">
        <v>20</v>
      </c>
      <c r="D534" t="s">
        <v>624</v>
      </c>
      <c r="E534" t="s">
        <v>629</v>
      </c>
      <c r="F534" t="s">
        <v>23</v>
      </c>
      <c r="G534" s="91">
        <v>3368.355</v>
      </c>
      <c r="H534" s="91"/>
      <c r="I534" s="91">
        <v>6.50000074220205</v>
      </c>
      <c r="J534" s="91">
        <v>21894.31</v>
      </c>
    </row>
    <row r="535" spans="1:10">
      <c r="A535" t="s">
        <v>622</v>
      </c>
      <c r="B535" t="s">
        <v>623</v>
      </c>
      <c r="C535" t="s">
        <v>11</v>
      </c>
      <c r="D535" t="s">
        <v>630</v>
      </c>
      <c r="E535" t="s">
        <v>631</v>
      </c>
      <c r="F535" t="s">
        <v>17</v>
      </c>
      <c r="G535" s="91">
        <v>224.557</v>
      </c>
      <c r="H535" s="91"/>
      <c r="I535" s="91">
        <v>9380</v>
      </c>
      <c r="J535" s="91">
        <v>2106344.66</v>
      </c>
    </row>
    <row r="536" spans="1:10">
      <c r="A536" t="s">
        <v>632</v>
      </c>
      <c r="B536" t="s">
        <v>633</v>
      </c>
      <c r="C536" t="s">
        <v>11</v>
      </c>
      <c r="D536" t="s">
        <v>634</v>
      </c>
      <c r="E536" t="s">
        <v>635</v>
      </c>
      <c r="F536" t="s">
        <v>23</v>
      </c>
      <c r="G536" s="91">
        <v>1848.216</v>
      </c>
      <c r="H536" s="91"/>
      <c r="I536" s="91">
        <v>16.0000021642492</v>
      </c>
      <c r="J536" s="91">
        <v>29571.46</v>
      </c>
    </row>
    <row r="537" spans="1:10">
      <c r="A537" t="s">
        <v>632</v>
      </c>
      <c r="B537" t="s">
        <v>633</v>
      </c>
      <c r="C537" t="s">
        <v>20</v>
      </c>
      <c r="D537" t="s">
        <v>636</v>
      </c>
      <c r="E537" t="s">
        <v>637</v>
      </c>
      <c r="F537" t="s">
        <v>23</v>
      </c>
      <c r="G537" s="91">
        <v>1848.216</v>
      </c>
      <c r="H537" s="91"/>
      <c r="I537" s="91">
        <v>40</v>
      </c>
      <c r="J537" s="91">
        <v>73928.64</v>
      </c>
    </row>
    <row r="538" spans="1:10">
      <c r="A538" t="s">
        <v>638</v>
      </c>
      <c r="B538" t="s">
        <v>639</v>
      </c>
      <c r="C538" t="s">
        <v>11</v>
      </c>
      <c r="D538" t="s">
        <v>634</v>
      </c>
      <c r="E538" t="s">
        <v>640</v>
      </c>
      <c r="F538" t="s">
        <v>23</v>
      </c>
      <c r="G538" s="91">
        <v>924.108</v>
      </c>
      <c r="H538" s="91"/>
      <c r="I538" s="91">
        <v>17.0000043284984</v>
      </c>
      <c r="J538" s="91">
        <v>15709.84</v>
      </c>
    </row>
    <row r="539" spans="1:10">
      <c r="A539" t="s">
        <v>638</v>
      </c>
      <c r="B539" t="s">
        <v>639</v>
      </c>
      <c r="C539" t="s">
        <v>20</v>
      </c>
      <c r="D539" t="s">
        <v>636</v>
      </c>
      <c r="E539" t="s">
        <v>641</v>
      </c>
      <c r="F539" t="s">
        <v>23</v>
      </c>
      <c r="G539" s="91">
        <v>924.108</v>
      </c>
      <c r="H539" s="91"/>
      <c r="I539" s="91">
        <v>57.9999956715016</v>
      </c>
      <c r="J539" s="91">
        <v>53598.26</v>
      </c>
    </row>
    <row r="540" spans="1:10">
      <c r="A540" t="s">
        <v>642</v>
      </c>
      <c r="B540" t="s">
        <v>643</v>
      </c>
      <c r="C540" t="s">
        <v>11</v>
      </c>
      <c r="D540" t="s">
        <v>634</v>
      </c>
      <c r="E540" t="s">
        <v>640</v>
      </c>
      <c r="F540" t="s">
        <v>23</v>
      </c>
      <c r="G540" s="91">
        <v>739.336</v>
      </c>
      <c r="H540" s="91"/>
      <c r="I540" s="91">
        <v>16.99999729487</v>
      </c>
      <c r="J540" s="91">
        <v>12568.71</v>
      </c>
    </row>
    <row r="541" spans="1:10">
      <c r="A541" t="s">
        <v>642</v>
      </c>
      <c r="B541" t="s">
        <v>643</v>
      </c>
      <c r="C541" t="s">
        <v>20</v>
      </c>
      <c r="D541" t="s">
        <v>636</v>
      </c>
      <c r="E541" t="s">
        <v>644</v>
      </c>
      <c r="F541" t="s">
        <v>23</v>
      </c>
      <c r="G541" s="91">
        <v>369.668</v>
      </c>
      <c r="H541" s="91"/>
      <c r="I541" s="91">
        <v>102.99998917948</v>
      </c>
      <c r="J541" s="91">
        <v>38075.8</v>
      </c>
    </row>
    <row r="542" spans="1:10">
      <c r="A542" t="s">
        <v>645</v>
      </c>
      <c r="B542" t="s">
        <v>646</v>
      </c>
      <c r="C542" t="s">
        <v>11</v>
      </c>
      <c r="D542" t="s">
        <v>634</v>
      </c>
      <c r="E542" t="s">
        <v>635</v>
      </c>
      <c r="F542" t="s">
        <v>23</v>
      </c>
      <c r="G542" s="91">
        <v>184.896</v>
      </c>
      <c r="H542" s="91"/>
      <c r="I542" s="91">
        <v>16.0000216337833</v>
      </c>
      <c r="J542" s="91">
        <v>2958.34</v>
      </c>
    </row>
    <row r="543" spans="1:10">
      <c r="A543" t="s">
        <v>645</v>
      </c>
      <c r="B543" t="s">
        <v>646</v>
      </c>
      <c r="C543" t="s">
        <v>11</v>
      </c>
      <c r="D543" t="s">
        <v>634</v>
      </c>
      <c r="E543" t="s">
        <v>640</v>
      </c>
      <c r="F543" t="s">
        <v>23</v>
      </c>
      <c r="G543" s="91">
        <v>184.896</v>
      </c>
      <c r="H543" s="91"/>
      <c r="I543" s="91">
        <v>16.9999891831083</v>
      </c>
      <c r="J543" s="91">
        <v>3143.23</v>
      </c>
    </row>
    <row r="544" spans="1:10">
      <c r="A544" t="s">
        <v>645</v>
      </c>
      <c r="B544" t="s">
        <v>646</v>
      </c>
      <c r="C544" t="s">
        <v>20</v>
      </c>
      <c r="D544" t="s">
        <v>636</v>
      </c>
      <c r="E544" t="s">
        <v>647</v>
      </c>
      <c r="F544" t="s">
        <v>23</v>
      </c>
      <c r="G544" s="91">
        <v>184.896</v>
      </c>
      <c r="H544" s="91"/>
      <c r="I544" s="91">
        <v>63.0000108168917</v>
      </c>
      <c r="J544" s="91">
        <v>11648.45</v>
      </c>
    </row>
    <row r="545" spans="1:10">
      <c r="A545" t="s">
        <v>648</v>
      </c>
      <c r="B545" t="s">
        <v>649</v>
      </c>
      <c r="C545" t="s">
        <v>11</v>
      </c>
      <c r="D545" t="s">
        <v>634</v>
      </c>
      <c r="E545" t="s">
        <v>640</v>
      </c>
      <c r="F545" t="s">
        <v>23</v>
      </c>
      <c r="G545" s="91">
        <v>369.792</v>
      </c>
      <c r="H545" s="91"/>
      <c r="I545" s="91">
        <v>16.9999891831083</v>
      </c>
      <c r="J545" s="91">
        <v>6286.46</v>
      </c>
    </row>
    <row r="546" spans="1:10">
      <c r="A546" t="s">
        <v>648</v>
      </c>
      <c r="B546" t="s">
        <v>649</v>
      </c>
      <c r="C546" t="s">
        <v>11</v>
      </c>
      <c r="D546" t="s">
        <v>634</v>
      </c>
      <c r="E546" t="s">
        <v>650</v>
      </c>
      <c r="F546" t="s">
        <v>23</v>
      </c>
      <c r="G546" s="91">
        <v>369.792</v>
      </c>
      <c r="H546" s="91"/>
      <c r="I546" s="91">
        <v>18.0000108168917</v>
      </c>
      <c r="J546" s="91">
        <v>6656.26</v>
      </c>
    </row>
    <row r="547" spans="1:10">
      <c r="A547" t="s">
        <v>648</v>
      </c>
      <c r="B547" t="s">
        <v>649</v>
      </c>
      <c r="C547" t="s">
        <v>20</v>
      </c>
      <c r="D547" t="s">
        <v>636</v>
      </c>
      <c r="E547" t="s">
        <v>651</v>
      </c>
      <c r="F547" t="s">
        <v>23</v>
      </c>
      <c r="G547" s="91">
        <v>184.896</v>
      </c>
      <c r="H547" s="91"/>
      <c r="I547" s="91">
        <v>108.000010816892</v>
      </c>
      <c r="J547" s="91">
        <v>19968.77</v>
      </c>
    </row>
    <row r="548" spans="1:10">
      <c r="A548" t="s">
        <v>652</v>
      </c>
      <c r="B548" t="s">
        <v>653</v>
      </c>
      <c r="C548" t="s">
        <v>11</v>
      </c>
      <c r="D548" t="s">
        <v>634</v>
      </c>
      <c r="E548" t="s">
        <v>635</v>
      </c>
      <c r="F548" t="s">
        <v>23</v>
      </c>
      <c r="G548" s="91">
        <v>369.792</v>
      </c>
      <c r="H548" s="91"/>
      <c r="I548" s="91">
        <v>15.9999945915542</v>
      </c>
      <c r="J548" s="91">
        <v>5916.67</v>
      </c>
    </row>
    <row r="549" spans="1:10">
      <c r="A549" t="s">
        <v>652</v>
      </c>
      <c r="B549" t="s">
        <v>653</v>
      </c>
      <c r="C549" t="s">
        <v>11</v>
      </c>
      <c r="D549" t="s">
        <v>634</v>
      </c>
      <c r="E549" t="s">
        <v>650</v>
      </c>
      <c r="F549" t="s">
        <v>23</v>
      </c>
      <c r="G549" s="91">
        <v>369.792</v>
      </c>
      <c r="H549" s="91"/>
      <c r="I549" s="91">
        <v>18.0000108168917</v>
      </c>
      <c r="J549" s="91">
        <v>6656.26</v>
      </c>
    </row>
    <row r="550" spans="1:10">
      <c r="A550" t="s">
        <v>652</v>
      </c>
      <c r="B550" t="s">
        <v>653</v>
      </c>
      <c r="C550" t="s">
        <v>20</v>
      </c>
      <c r="D550" t="s">
        <v>636</v>
      </c>
      <c r="E550" t="s">
        <v>654</v>
      </c>
      <c r="F550" t="s">
        <v>23</v>
      </c>
      <c r="G550" s="91">
        <v>184.896</v>
      </c>
      <c r="H550" s="91"/>
      <c r="I550" s="91">
        <v>108.999978366217</v>
      </c>
      <c r="J550" s="91">
        <v>20153.66</v>
      </c>
    </row>
    <row r="551" spans="1:10">
      <c r="A551" t="s">
        <v>655</v>
      </c>
      <c r="B551" t="s">
        <v>656</v>
      </c>
      <c r="C551" t="s">
        <v>11</v>
      </c>
      <c r="D551" t="s">
        <v>657</v>
      </c>
      <c r="E551" t="s">
        <v>658</v>
      </c>
      <c r="F551" t="s">
        <v>34</v>
      </c>
      <c r="G551" s="91">
        <v>1923.818</v>
      </c>
      <c r="H551" s="91"/>
      <c r="I551" s="91">
        <v>45</v>
      </c>
      <c r="J551" s="91">
        <v>86571.81</v>
      </c>
    </row>
    <row r="552" spans="1:10">
      <c r="A552" t="s">
        <v>659</v>
      </c>
      <c r="B552" t="s">
        <v>660</v>
      </c>
      <c r="C552" t="s">
        <v>11</v>
      </c>
      <c r="D552" t="s">
        <v>12</v>
      </c>
      <c r="E552" t="s">
        <v>13</v>
      </c>
      <c r="F552" t="s">
        <v>14</v>
      </c>
      <c r="G552" s="91">
        <v>0.724</v>
      </c>
      <c r="H552" s="91"/>
      <c r="I552" s="91">
        <v>450</v>
      </c>
      <c r="J552" s="91">
        <v>325.8</v>
      </c>
    </row>
    <row r="553" spans="1:10">
      <c r="A553" t="s">
        <v>659</v>
      </c>
      <c r="B553" t="s">
        <v>660</v>
      </c>
      <c r="C553" t="s">
        <v>11</v>
      </c>
      <c r="D553" t="s">
        <v>12</v>
      </c>
      <c r="E553" t="s">
        <v>15</v>
      </c>
      <c r="F553" t="s">
        <v>14</v>
      </c>
      <c r="G553" s="91">
        <v>0.113</v>
      </c>
      <c r="H553" s="91"/>
      <c r="I553" s="91">
        <v>600</v>
      </c>
      <c r="J553" s="91">
        <v>67.8</v>
      </c>
    </row>
    <row r="554" spans="1:10">
      <c r="A554" t="s">
        <v>659</v>
      </c>
      <c r="B554" t="s">
        <v>660</v>
      </c>
      <c r="C554" t="s">
        <v>11</v>
      </c>
      <c r="D554" t="s">
        <v>12</v>
      </c>
      <c r="E554" t="s">
        <v>28</v>
      </c>
      <c r="F554" t="s">
        <v>14</v>
      </c>
      <c r="G554" s="91">
        <v>0.034</v>
      </c>
      <c r="H554" s="91"/>
      <c r="I554" s="91">
        <v>600</v>
      </c>
      <c r="J554" s="91">
        <v>20.4</v>
      </c>
    </row>
    <row r="555" spans="1:10">
      <c r="A555" t="s">
        <v>659</v>
      </c>
      <c r="B555" t="s">
        <v>660</v>
      </c>
      <c r="C555" t="s">
        <v>20</v>
      </c>
      <c r="D555" t="s">
        <v>106</v>
      </c>
      <c r="E555" t="s">
        <v>107</v>
      </c>
      <c r="F555" t="s">
        <v>108</v>
      </c>
      <c r="G555" s="91">
        <v>1.384</v>
      </c>
      <c r="H555" s="91"/>
      <c r="I555" s="91">
        <v>3362.00144508671</v>
      </c>
      <c r="J555" s="91">
        <v>4653.01</v>
      </c>
    </row>
    <row r="556" spans="1:10">
      <c r="A556" t="s">
        <v>659</v>
      </c>
      <c r="B556" t="s">
        <v>660</v>
      </c>
      <c r="C556" t="s">
        <v>20</v>
      </c>
      <c r="D556" t="s">
        <v>596</v>
      </c>
      <c r="E556" t="s">
        <v>597</v>
      </c>
      <c r="F556" t="s">
        <v>46</v>
      </c>
      <c r="G556" s="91">
        <v>0.319</v>
      </c>
      <c r="H556" s="91"/>
      <c r="I556" s="91">
        <v>2200</v>
      </c>
      <c r="J556" s="91">
        <v>701.8</v>
      </c>
    </row>
    <row r="557" spans="1:10">
      <c r="A557" t="s">
        <v>661</v>
      </c>
      <c r="B557" t="s">
        <v>662</v>
      </c>
      <c r="C557" t="s">
        <v>11</v>
      </c>
      <c r="D557" t="s">
        <v>12</v>
      </c>
      <c r="E557" t="s">
        <v>13</v>
      </c>
      <c r="F557" t="s">
        <v>14</v>
      </c>
      <c r="G557" s="91">
        <v>0.724</v>
      </c>
      <c r="H557" s="91"/>
      <c r="I557" s="91">
        <v>450</v>
      </c>
      <c r="J557" s="91">
        <v>325.8</v>
      </c>
    </row>
    <row r="558" spans="1:10">
      <c r="A558" t="s">
        <v>661</v>
      </c>
      <c r="B558" t="s">
        <v>662</v>
      </c>
      <c r="C558" t="s">
        <v>11</v>
      </c>
      <c r="D558" t="s">
        <v>12</v>
      </c>
      <c r="E558" t="s">
        <v>15</v>
      </c>
      <c r="F558" t="s">
        <v>14</v>
      </c>
      <c r="G558" s="91">
        <v>0.113</v>
      </c>
      <c r="H558" s="91"/>
      <c r="I558" s="91">
        <v>600</v>
      </c>
      <c r="J558" s="91">
        <v>67.8</v>
      </c>
    </row>
    <row r="559" spans="1:10">
      <c r="A559" t="s">
        <v>661</v>
      </c>
      <c r="B559" t="s">
        <v>662</v>
      </c>
      <c r="C559" t="s">
        <v>11</v>
      </c>
      <c r="D559" t="s">
        <v>12</v>
      </c>
      <c r="E559" t="s">
        <v>28</v>
      </c>
      <c r="F559" t="s">
        <v>14</v>
      </c>
      <c r="G559" s="91">
        <v>0.034</v>
      </c>
      <c r="H559" s="91"/>
      <c r="I559" s="91">
        <v>600</v>
      </c>
      <c r="J559" s="91">
        <v>20.4</v>
      </c>
    </row>
    <row r="560" spans="1:10">
      <c r="A560" t="s">
        <v>661</v>
      </c>
      <c r="B560" t="s">
        <v>662</v>
      </c>
      <c r="C560" t="s">
        <v>20</v>
      </c>
      <c r="D560" t="s">
        <v>106</v>
      </c>
      <c r="E560" t="s">
        <v>107</v>
      </c>
      <c r="F560" t="s">
        <v>108</v>
      </c>
      <c r="G560" s="91">
        <v>2.306</v>
      </c>
      <c r="H560" s="91"/>
      <c r="I560" s="91">
        <v>3361.99913269731</v>
      </c>
      <c r="J560" s="91">
        <v>7752.77</v>
      </c>
    </row>
    <row r="561" spans="1:10">
      <c r="A561" t="s">
        <v>663</v>
      </c>
      <c r="B561" t="s">
        <v>664</v>
      </c>
      <c r="C561" t="s">
        <v>11</v>
      </c>
      <c r="D561" t="s">
        <v>665</v>
      </c>
      <c r="E561" t="s">
        <v>666</v>
      </c>
      <c r="F561" t="s">
        <v>34</v>
      </c>
      <c r="G561" s="91">
        <v>924.871</v>
      </c>
      <c r="H561" s="91"/>
      <c r="I561" s="91">
        <v>33.3099967454921</v>
      </c>
      <c r="J561" s="91">
        <v>30807.45</v>
      </c>
    </row>
    <row r="562" spans="1:10">
      <c r="A562" t="s">
        <v>663</v>
      </c>
      <c r="B562" t="s">
        <v>664</v>
      </c>
      <c r="C562" t="s">
        <v>11</v>
      </c>
      <c r="D562" t="s">
        <v>12</v>
      </c>
      <c r="E562" t="s">
        <v>13</v>
      </c>
      <c r="F562" t="s">
        <v>14</v>
      </c>
      <c r="G562" s="91">
        <v>46.978</v>
      </c>
      <c r="H562" s="91"/>
      <c r="I562" s="91">
        <v>450</v>
      </c>
      <c r="J562" s="91">
        <v>21140.1</v>
      </c>
    </row>
    <row r="563" spans="1:10">
      <c r="A563" t="s">
        <v>663</v>
      </c>
      <c r="B563" t="s">
        <v>664</v>
      </c>
      <c r="C563" t="s">
        <v>11</v>
      </c>
      <c r="D563" t="s">
        <v>12</v>
      </c>
      <c r="E563" t="s">
        <v>15</v>
      </c>
      <c r="F563" t="s">
        <v>14</v>
      </c>
      <c r="G563" s="91">
        <v>7.34</v>
      </c>
      <c r="H563" s="91"/>
      <c r="I563" s="91">
        <v>600</v>
      </c>
      <c r="J563" s="91">
        <v>4404</v>
      </c>
    </row>
    <row r="564" spans="1:10">
      <c r="A564" t="s">
        <v>663</v>
      </c>
      <c r="B564" t="s">
        <v>664</v>
      </c>
      <c r="C564" t="s">
        <v>11</v>
      </c>
      <c r="D564" t="s">
        <v>12</v>
      </c>
      <c r="E564" t="s">
        <v>28</v>
      </c>
      <c r="F564" t="s">
        <v>14</v>
      </c>
      <c r="G564" s="91">
        <v>2.202</v>
      </c>
      <c r="H564" s="91"/>
      <c r="I564" s="91">
        <v>600</v>
      </c>
      <c r="J564" s="91">
        <v>1321.2</v>
      </c>
    </row>
    <row r="565" spans="1:10">
      <c r="A565" t="s">
        <v>663</v>
      </c>
      <c r="B565" t="s">
        <v>664</v>
      </c>
      <c r="C565" t="s">
        <v>20</v>
      </c>
      <c r="D565" t="s">
        <v>59</v>
      </c>
      <c r="E565" t="s">
        <v>667</v>
      </c>
      <c r="F565" t="s">
        <v>49</v>
      </c>
      <c r="G565" s="91">
        <v>139.465</v>
      </c>
      <c r="H565" s="91"/>
      <c r="I565" s="91">
        <v>42</v>
      </c>
      <c r="J565" s="91">
        <v>5857.53</v>
      </c>
    </row>
    <row r="566" spans="1:10">
      <c r="A566" t="s">
        <v>663</v>
      </c>
      <c r="B566" t="s">
        <v>664</v>
      </c>
      <c r="C566" t="s">
        <v>20</v>
      </c>
      <c r="D566" t="s">
        <v>59</v>
      </c>
      <c r="E566" t="s">
        <v>668</v>
      </c>
      <c r="F566" t="s">
        <v>49</v>
      </c>
      <c r="G566" s="91">
        <v>187.91</v>
      </c>
      <c r="H566" s="91"/>
      <c r="I566" s="91">
        <v>15</v>
      </c>
      <c r="J566" s="91">
        <v>2818.65</v>
      </c>
    </row>
    <row r="567" spans="1:10">
      <c r="A567" t="s">
        <v>663</v>
      </c>
      <c r="B567" t="s">
        <v>664</v>
      </c>
      <c r="C567" t="s">
        <v>20</v>
      </c>
      <c r="D567" t="s">
        <v>59</v>
      </c>
      <c r="E567" t="s">
        <v>60</v>
      </c>
      <c r="F567" t="s">
        <v>49</v>
      </c>
      <c r="G567" s="91">
        <v>82.504</v>
      </c>
      <c r="H567" s="91"/>
      <c r="I567" s="91">
        <v>17.0000242412489</v>
      </c>
      <c r="J567" s="91">
        <v>1402.57</v>
      </c>
    </row>
    <row r="568" spans="1:10">
      <c r="A568" t="s">
        <v>663</v>
      </c>
      <c r="B568" t="s">
        <v>664</v>
      </c>
      <c r="C568" t="s">
        <v>20</v>
      </c>
      <c r="D568" t="s">
        <v>106</v>
      </c>
      <c r="E568" t="s">
        <v>669</v>
      </c>
      <c r="F568" t="s">
        <v>108</v>
      </c>
      <c r="G568" s="91">
        <v>149.741</v>
      </c>
      <c r="H568" s="91"/>
      <c r="I568" s="91">
        <v>4521.9999866436</v>
      </c>
      <c r="J568" s="91">
        <v>677128.8</v>
      </c>
    </row>
    <row r="569" spans="1:10">
      <c r="A569" t="s">
        <v>670</v>
      </c>
      <c r="B569" t="s">
        <v>671</v>
      </c>
      <c r="C569" t="s">
        <v>11</v>
      </c>
      <c r="D569" t="s">
        <v>665</v>
      </c>
      <c r="E569" t="s">
        <v>666</v>
      </c>
      <c r="F569" t="s">
        <v>34</v>
      </c>
      <c r="G569" s="91">
        <v>629.855</v>
      </c>
      <c r="H569" s="91"/>
      <c r="I569" s="91">
        <v>33.3099999206166</v>
      </c>
      <c r="J569" s="91">
        <v>20980.47</v>
      </c>
    </row>
    <row r="570" spans="1:10">
      <c r="A570" t="s">
        <v>670</v>
      </c>
      <c r="B570" t="s">
        <v>671</v>
      </c>
      <c r="C570" t="s">
        <v>11</v>
      </c>
      <c r="D570" t="s">
        <v>12</v>
      </c>
      <c r="E570" t="s">
        <v>13</v>
      </c>
      <c r="F570" t="s">
        <v>14</v>
      </c>
      <c r="G570" s="91">
        <v>31.993</v>
      </c>
      <c r="H570" s="91"/>
      <c r="I570" s="91">
        <v>450</v>
      </c>
      <c r="J570" s="91">
        <v>14396.85</v>
      </c>
    </row>
    <row r="571" spans="1:10">
      <c r="A571" t="s">
        <v>670</v>
      </c>
      <c r="B571" t="s">
        <v>671</v>
      </c>
      <c r="C571" t="s">
        <v>11</v>
      </c>
      <c r="D571" t="s">
        <v>12</v>
      </c>
      <c r="E571" t="s">
        <v>15</v>
      </c>
      <c r="F571" t="s">
        <v>14</v>
      </c>
      <c r="G571" s="91">
        <v>4.999</v>
      </c>
      <c r="H571" s="91"/>
      <c r="I571" s="91">
        <v>600</v>
      </c>
      <c r="J571" s="91">
        <v>2999.4</v>
      </c>
    </row>
    <row r="572" spans="1:10">
      <c r="A572" t="s">
        <v>670</v>
      </c>
      <c r="B572" t="s">
        <v>671</v>
      </c>
      <c r="C572" t="s">
        <v>11</v>
      </c>
      <c r="D572" t="s">
        <v>12</v>
      </c>
      <c r="E572" t="s">
        <v>28</v>
      </c>
      <c r="F572" t="s">
        <v>14</v>
      </c>
      <c r="G572" s="91">
        <v>1.5</v>
      </c>
      <c r="H572" s="91"/>
      <c r="I572" s="91">
        <v>600</v>
      </c>
      <c r="J572" s="91">
        <v>900</v>
      </c>
    </row>
    <row r="573" spans="1:10">
      <c r="A573" t="s">
        <v>670</v>
      </c>
      <c r="B573" t="s">
        <v>671</v>
      </c>
      <c r="C573" t="s">
        <v>20</v>
      </c>
      <c r="D573" t="s">
        <v>59</v>
      </c>
      <c r="E573" t="s">
        <v>667</v>
      </c>
      <c r="F573" t="s">
        <v>49</v>
      </c>
      <c r="G573" s="91">
        <v>94.978</v>
      </c>
      <c r="H573" s="91"/>
      <c r="I573" s="91">
        <v>42.0000421150161</v>
      </c>
      <c r="J573" s="91">
        <v>3989.08</v>
      </c>
    </row>
    <row r="574" spans="1:10">
      <c r="A574" t="s">
        <v>670</v>
      </c>
      <c r="B574" t="s">
        <v>671</v>
      </c>
      <c r="C574" t="s">
        <v>20</v>
      </c>
      <c r="D574" t="s">
        <v>59</v>
      </c>
      <c r="E574" t="s">
        <v>668</v>
      </c>
      <c r="F574" t="s">
        <v>49</v>
      </c>
      <c r="G574" s="91">
        <v>127.971</v>
      </c>
      <c r="H574" s="91"/>
      <c r="I574" s="91">
        <v>15.0000390713521</v>
      </c>
      <c r="J574" s="91">
        <v>1919.57</v>
      </c>
    </row>
    <row r="575" spans="1:10">
      <c r="A575" t="s">
        <v>670</v>
      </c>
      <c r="B575" t="s">
        <v>671</v>
      </c>
      <c r="C575" t="s">
        <v>20</v>
      </c>
      <c r="D575" t="s">
        <v>59</v>
      </c>
      <c r="E575" t="s">
        <v>60</v>
      </c>
      <c r="F575" t="s">
        <v>49</v>
      </c>
      <c r="G575" s="91">
        <v>56.187</v>
      </c>
      <c r="H575" s="91"/>
      <c r="I575" s="91">
        <v>17.0000177977112</v>
      </c>
      <c r="J575" s="91">
        <v>955.18</v>
      </c>
    </row>
    <row r="576" spans="1:10">
      <c r="A576" t="s">
        <v>670</v>
      </c>
      <c r="B576" t="s">
        <v>671</v>
      </c>
      <c r="C576" t="s">
        <v>20</v>
      </c>
      <c r="D576" t="s">
        <v>106</v>
      </c>
      <c r="E576" t="s">
        <v>672</v>
      </c>
      <c r="F576" t="s">
        <v>108</v>
      </c>
      <c r="G576" s="91">
        <v>101.977</v>
      </c>
      <c r="H576" s="91"/>
      <c r="I576" s="91">
        <v>5000</v>
      </c>
      <c r="J576" s="91">
        <v>509885</v>
      </c>
    </row>
    <row r="577" spans="1:10">
      <c r="A577" t="s">
        <v>673</v>
      </c>
      <c r="B577" t="s">
        <v>674</v>
      </c>
      <c r="C577" t="s">
        <v>11</v>
      </c>
      <c r="D577" t="s">
        <v>665</v>
      </c>
      <c r="E577" t="s">
        <v>666</v>
      </c>
      <c r="F577" t="s">
        <v>34</v>
      </c>
      <c r="G577" s="91">
        <v>17444.927</v>
      </c>
      <c r="H577" s="91"/>
      <c r="I577" s="91">
        <v>33.3100000934369</v>
      </c>
      <c r="J577" s="91">
        <v>581090.52</v>
      </c>
    </row>
    <row r="578" spans="1:10">
      <c r="A578" t="s">
        <v>673</v>
      </c>
      <c r="B578" t="s">
        <v>674</v>
      </c>
      <c r="C578" t="s">
        <v>11</v>
      </c>
      <c r="D578" t="s">
        <v>12</v>
      </c>
      <c r="E578" t="s">
        <v>13</v>
      </c>
      <c r="F578" t="s">
        <v>14</v>
      </c>
      <c r="G578" s="91">
        <v>886.092</v>
      </c>
      <c r="H578" s="91"/>
      <c r="I578" s="91">
        <v>450</v>
      </c>
      <c r="J578" s="91">
        <v>398741.4</v>
      </c>
    </row>
    <row r="579" spans="1:10">
      <c r="A579" t="s">
        <v>673</v>
      </c>
      <c r="B579" t="s">
        <v>674</v>
      </c>
      <c r="C579" t="s">
        <v>11</v>
      </c>
      <c r="D579" t="s">
        <v>12</v>
      </c>
      <c r="E579" t="s">
        <v>15</v>
      </c>
      <c r="F579" t="s">
        <v>14</v>
      </c>
      <c r="G579" s="91">
        <v>138.452</v>
      </c>
      <c r="H579" s="91"/>
      <c r="I579" s="91">
        <v>600</v>
      </c>
      <c r="J579" s="91">
        <v>83071.2</v>
      </c>
    </row>
    <row r="580" spans="1:10">
      <c r="A580" t="s">
        <v>673</v>
      </c>
      <c r="B580" t="s">
        <v>674</v>
      </c>
      <c r="C580" t="s">
        <v>11</v>
      </c>
      <c r="D580" t="s">
        <v>12</v>
      </c>
      <c r="E580" t="s">
        <v>28</v>
      </c>
      <c r="F580" t="s">
        <v>14</v>
      </c>
      <c r="G580" s="91">
        <v>41.536</v>
      </c>
      <c r="H580" s="91"/>
      <c r="I580" s="91">
        <v>600</v>
      </c>
      <c r="J580" s="91">
        <v>24921.6</v>
      </c>
    </row>
    <row r="581" spans="1:10">
      <c r="A581" t="s">
        <v>673</v>
      </c>
      <c r="B581" t="s">
        <v>674</v>
      </c>
      <c r="C581" t="s">
        <v>20</v>
      </c>
      <c r="D581" t="s">
        <v>59</v>
      </c>
      <c r="E581" t="s">
        <v>667</v>
      </c>
      <c r="F581" t="s">
        <v>49</v>
      </c>
      <c r="G581" s="91">
        <v>2630.584</v>
      </c>
      <c r="H581" s="91"/>
      <c r="I581" s="91">
        <v>42.0000007602874</v>
      </c>
      <c r="J581" s="91">
        <v>110484.53</v>
      </c>
    </row>
    <row r="582" spans="1:10">
      <c r="A582" t="s">
        <v>673</v>
      </c>
      <c r="B582" t="s">
        <v>674</v>
      </c>
      <c r="C582" t="s">
        <v>20</v>
      </c>
      <c r="D582" t="s">
        <v>59</v>
      </c>
      <c r="E582" t="s">
        <v>668</v>
      </c>
      <c r="F582" t="s">
        <v>49</v>
      </c>
      <c r="G582" s="91">
        <v>3544.366</v>
      </c>
      <c r="H582" s="91"/>
      <c r="I582" s="91">
        <v>15</v>
      </c>
      <c r="J582" s="91">
        <v>53165.49</v>
      </c>
    </row>
    <row r="583" spans="1:10">
      <c r="A583" t="s">
        <v>673</v>
      </c>
      <c r="B583" t="s">
        <v>674</v>
      </c>
      <c r="C583" t="s">
        <v>20</v>
      </c>
      <c r="D583" t="s">
        <v>59</v>
      </c>
      <c r="E583" t="s">
        <v>60</v>
      </c>
      <c r="F583" t="s">
        <v>49</v>
      </c>
      <c r="G583" s="91">
        <v>1556.198</v>
      </c>
      <c r="H583" s="91"/>
      <c r="I583" s="91">
        <v>17.000002570367</v>
      </c>
      <c r="J583" s="91">
        <v>26455.37</v>
      </c>
    </row>
    <row r="584" spans="1:10">
      <c r="A584" t="s">
        <v>673</v>
      </c>
      <c r="B584" t="s">
        <v>674</v>
      </c>
      <c r="C584" t="s">
        <v>20</v>
      </c>
      <c r="D584" t="s">
        <v>106</v>
      </c>
      <c r="E584" t="s">
        <v>675</v>
      </c>
      <c r="F584" t="s">
        <v>108</v>
      </c>
      <c r="G584" s="91">
        <v>2824.417</v>
      </c>
      <c r="H584" s="91"/>
      <c r="I584" s="91">
        <v>5450</v>
      </c>
      <c r="J584" s="91">
        <v>15393072.65</v>
      </c>
    </row>
    <row r="585" spans="1:10">
      <c r="A585" t="s">
        <v>676</v>
      </c>
      <c r="B585" t="s">
        <v>677</v>
      </c>
      <c r="C585" t="s">
        <v>11</v>
      </c>
      <c r="D585" t="s">
        <v>12</v>
      </c>
      <c r="E585" t="s">
        <v>13</v>
      </c>
      <c r="F585" t="s">
        <v>14</v>
      </c>
      <c r="G585" s="91">
        <v>11.744</v>
      </c>
      <c r="H585" s="91"/>
      <c r="I585" s="91">
        <v>450</v>
      </c>
      <c r="J585" s="91">
        <v>5284.8</v>
      </c>
    </row>
    <row r="586" spans="1:10">
      <c r="A586" t="s">
        <v>676</v>
      </c>
      <c r="B586" t="s">
        <v>677</v>
      </c>
      <c r="C586" t="s">
        <v>11</v>
      </c>
      <c r="D586" t="s">
        <v>12</v>
      </c>
      <c r="E586" t="s">
        <v>15</v>
      </c>
      <c r="F586" t="s">
        <v>14</v>
      </c>
      <c r="G586" s="91">
        <v>1.835</v>
      </c>
      <c r="H586" s="91"/>
      <c r="I586" s="91">
        <v>600</v>
      </c>
      <c r="J586" s="91">
        <v>1101</v>
      </c>
    </row>
    <row r="587" spans="1:10">
      <c r="A587" t="s">
        <v>676</v>
      </c>
      <c r="B587" t="s">
        <v>677</v>
      </c>
      <c r="C587" t="s">
        <v>11</v>
      </c>
      <c r="D587" t="s">
        <v>12</v>
      </c>
      <c r="E587" t="s">
        <v>28</v>
      </c>
      <c r="F587" t="s">
        <v>14</v>
      </c>
      <c r="G587" s="91">
        <v>0.551</v>
      </c>
      <c r="H587" s="91"/>
      <c r="I587" s="91">
        <v>600</v>
      </c>
      <c r="J587" s="91">
        <v>330.6</v>
      </c>
    </row>
    <row r="588" spans="1:10">
      <c r="A588" t="s">
        <v>676</v>
      </c>
      <c r="B588" t="s">
        <v>677</v>
      </c>
      <c r="C588" t="s">
        <v>20</v>
      </c>
      <c r="D588" t="s">
        <v>59</v>
      </c>
      <c r="E588" t="s">
        <v>667</v>
      </c>
      <c r="F588" t="s">
        <v>49</v>
      </c>
      <c r="G588" s="91">
        <v>34.866</v>
      </c>
      <c r="H588" s="91"/>
      <c r="I588" s="91">
        <v>41.9999426375265</v>
      </c>
      <c r="J588" s="91">
        <v>1464.37</v>
      </c>
    </row>
    <row r="589" spans="1:10">
      <c r="A589" t="s">
        <v>676</v>
      </c>
      <c r="B589" t="s">
        <v>677</v>
      </c>
      <c r="C589" t="s">
        <v>20</v>
      </c>
      <c r="D589" t="s">
        <v>59</v>
      </c>
      <c r="E589" t="s">
        <v>668</v>
      </c>
      <c r="F589" t="s">
        <v>49</v>
      </c>
      <c r="G589" s="91">
        <v>46.977</v>
      </c>
      <c r="H589" s="91"/>
      <c r="I589" s="91">
        <v>15.000106435064</v>
      </c>
      <c r="J589" s="91">
        <v>704.66</v>
      </c>
    </row>
    <row r="590" spans="1:10">
      <c r="A590" t="s">
        <v>676</v>
      </c>
      <c r="B590" t="s">
        <v>677</v>
      </c>
      <c r="C590" t="s">
        <v>20</v>
      </c>
      <c r="D590" t="s">
        <v>59</v>
      </c>
      <c r="E590" t="s">
        <v>60</v>
      </c>
      <c r="F590" t="s">
        <v>49</v>
      </c>
      <c r="G590" s="91">
        <v>20.626</v>
      </c>
      <c r="H590" s="91"/>
      <c r="I590" s="91">
        <v>16.9999030350044</v>
      </c>
      <c r="J590" s="91">
        <v>350.64</v>
      </c>
    </row>
    <row r="591" spans="1:10">
      <c r="A591" t="s">
        <v>676</v>
      </c>
      <c r="B591" t="s">
        <v>677</v>
      </c>
      <c r="C591" t="s">
        <v>20</v>
      </c>
      <c r="D591" t="s">
        <v>106</v>
      </c>
      <c r="E591" t="s">
        <v>678</v>
      </c>
      <c r="F591" t="s">
        <v>108</v>
      </c>
      <c r="G591" s="91">
        <v>37.435</v>
      </c>
      <c r="H591" s="91"/>
      <c r="I591" s="91">
        <v>6000</v>
      </c>
      <c r="J591" s="91">
        <v>224610</v>
      </c>
    </row>
    <row r="592" spans="1:10">
      <c r="A592" t="s">
        <v>679</v>
      </c>
      <c r="B592" t="s">
        <v>680</v>
      </c>
      <c r="C592" t="s">
        <v>20</v>
      </c>
      <c r="D592" t="s">
        <v>102</v>
      </c>
      <c r="E592" t="s">
        <v>103</v>
      </c>
      <c r="F592" t="s">
        <v>46</v>
      </c>
      <c r="G592" s="91">
        <v>9.351</v>
      </c>
      <c r="H592" s="91"/>
      <c r="I592" s="91">
        <v>800</v>
      </c>
      <c r="J592" s="91">
        <v>7480.8</v>
      </c>
    </row>
    <row r="593" spans="1:10">
      <c r="A593" t="s">
        <v>679</v>
      </c>
      <c r="B593" t="s">
        <v>680</v>
      </c>
      <c r="C593" t="s">
        <v>20</v>
      </c>
      <c r="D593" t="s">
        <v>596</v>
      </c>
      <c r="E593" t="s">
        <v>597</v>
      </c>
      <c r="F593" t="s">
        <v>46</v>
      </c>
      <c r="G593" s="91">
        <v>48.604</v>
      </c>
      <c r="H593" s="91"/>
      <c r="I593" s="91">
        <v>2200</v>
      </c>
      <c r="J593" s="91">
        <v>106928.8</v>
      </c>
    </row>
    <row r="594" spans="1:10">
      <c r="A594" t="s">
        <v>679</v>
      </c>
      <c r="B594" t="s">
        <v>680</v>
      </c>
      <c r="C594" t="s">
        <v>11</v>
      </c>
      <c r="D594" t="s">
        <v>598</v>
      </c>
      <c r="E594" t="s">
        <v>599</v>
      </c>
      <c r="F594" t="s">
        <v>34</v>
      </c>
      <c r="G594" s="91">
        <v>520.462</v>
      </c>
      <c r="H594" s="91"/>
      <c r="I594" s="91">
        <v>86.109994581737</v>
      </c>
      <c r="J594" s="91">
        <v>44816.98</v>
      </c>
    </row>
    <row r="595" spans="1:10">
      <c r="A595" t="s">
        <v>679</v>
      </c>
      <c r="B595" t="s">
        <v>680</v>
      </c>
      <c r="C595" t="s">
        <v>20</v>
      </c>
      <c r="D595" t="s">
        <v>600</v>
      </c>
      <c r="E595" t="s">
        <v>601</v>
      </c>
      <c r="F595" t="s">
        <v>63</v>
      </c>
      <c r="G595" s="91">
        <v>2602.31</v>
      </c>
      <c r="H595" s="91"/>
      <c r="I595" s="91">
        <v>0.0799981554849345</v>
      </c>
      <c r="J595" s="91">
        <v>208.18</v>
      </c>
    </row>
    <row r="596" spans="1:10">
      <c r="A596" t="s">
        <v>681</v>
      </c>
      <c r="B596" t="s">
        <v>682</v>
      </c>
      <c r="C596" t="s">
        <v>11</v>
      </c>
      <c r="D596" t="s">
        <v>24</v>
      </c>
      <c r="E596" t="s">
        <v>604</v>
      </c>
      <c r="F596" t="s">
        <v>34</v>
      </c>
      <c r="G596" s="91">
        <v>14557.407</v>
      </c>
      <c r="H596" s="91"/>
      <c r="I596" s="91">
        <v>50</v>
      </c>
      <c r="J596" s="91">
        <v>727870.35</v>
      </c>
    </row>
    <row r="597" spans="1:10">
      <c r="A597" t="s">
        <v>681</v>
      </c>
      <c r="B597" t="s">
        <v>682</v>
      </c>
      <c r="C597" t="s">
        <v>11</v>
      </c>
      <c r="D597" t="s">
        <v>24</v>
      </c>
      <c r="E597" t="s">
        <v>605</v>
      </c>
      <c r="F597" t="s">
        <v>34</v>
      </c>
      <c r="G597" s="91">
        <v>2911.481</v>
      </c>
      <c r="H597" s="91"/>
      <c r="I597" s="91">
        <v>0</v>
      </c>
      <c r="J597" s="91">
        <v>0</v>
      </c>
    </row>
    <row r="598" spans="1:10">
      <c r="A598" t="s">
        <v>681</v>
      </c>
      <c r="B598" t="s">
        <v>682</v>
      </c>
      <c r="C598" t="s">
        <v>11</v>
      </c>
      <c r="D598" t="s">
        <v>24</v>
      </c>
      <c r="E598" t="s">
        <v>606</v>
      </c>
      <c r="F598" t="s">
        <v>34</v>
      </c>
      <c r="G598" s="91">
        <v>14557.407</v>
      </c>
      <c r="H598" s="91"/>
      <c r="I598" s="91">
        <v>0</v>
      </c>
      <c r="J598" s="91">
        <v>0</v>
      </c>
    </row>
    <row r="599" spans="1:10">
      <c r="A599" t="s">
        <v>681</v>
      </c>
      <c r="B599" t="s">
        <v>682</v>
      </c>
      <c r="C599" t="s">
        <v>20</v>
      </c>
      <c r="D599" t="s">
        <v>47</v>
      </c>
      <c r="E599" t="s">
        <v>50</v>
      </c>
      <c r="F599" t="s">
        <v>49</v>
      </c>
      <c r="G599" s="91">
        <v>436.722</v>
      </c>
      <c r="H599" s="91"/>
      <c r="I599" s="91">
        <v>60</v>
      </c>
      <c r="J599" s="91">
        <v>26203.32</v>
      </c>
    </row>
    <row r="600" spans="1:10">
      <c r="A600" t="s">
        <v>681</v>
      </c>
      <c r="B600" t="s">
        <v>682</v>
      </c>
      <c r="C600" t="s">
        <v>20</v>
      </c>
      <c r="D600" t="s">
        <v>61</v>
      </c>
      <c r="E600" t="s">
        <v>78</v>
      </c>
      <c r="F600" t="s">
        <v>49</v>
      </c>
      <c r="G600" s="91">
        <v>407.511</v>
      </c>
      <c r="H600" s="91"/>
      <c r="I600" s="91">
        <v>95.0000122696075</v>
      </c>
      <c r="J600" s="91">
        <v>38713.55</v>
      </c>
    </row>
    <row r="601" spans="1:10">
      <c r="A601" t="s">
        <v>681</v>
      </c>
      <c r="B601" t="s">
        <v>682</v>
      </c>
      <c r="C601" t="s">
        <v>20</v>
      </c>
      <c r="D601" t="s">
        <v>61</v>
      </c>
      <c r="E601" t="s">
        <v>607</v>
      </c>
      <c r="F601" t="s">
        <v>23</v>
      </c>
      <c r="G601" s="91">
        <v>145.574</v>
      </c>
      <c r="H601" s="91"/>
      <c r="I601" s="91">
        <v>0</v>
      </c>
      <c r="J601" s="91">
        <v>0</v>
      </c>
    </row>
    <row r="602" spans="1:10">
      <c r="A602" t="s">
        <v>681</v>
      </c>
      <c r="B602" t="s">
        <v>682</v>
      </c>
      <c r="C602" t="s">
        <v>20</v>
      </c>
      <c r="D602" t="s">
        <v>84</v>
      </c>
      <c r="E602" t="s">
        <v>86</v>
      </c>
      <c r="F602" t="s">
        <v>49</v>
      </c>
      <c r="G602" s="91">
        <v>291.148</v>
      </c>
      <c r="H602" s="91"/>
      <c r="I602" s="91">
        <v>60</v>
      </c>
      <c r="J602" s="91">
        <v>17468.88</v>
      </c>
    </row>
    <row r="603" spans="1:10">
      <c r="A603" t="s">
        <v>681</v>
      </c>
      <c r="B603" t="s">
        <v>682</v>
      </c>
      <c r="C603" t="s">
        <v>20</v>
      </c>
      <c r="D603" t="s">
        <v>84</v>
      </c>
      <c r="E603" t="s">
        <v>88</v>
      </c>
      <c r="F603" t="s">
        <v>49</v>
      </c>
      <c r="G603" s="91">
        <v>582.296</v>
      </c>
      <c r="H603" s="91"/>
      <c r="I603" s="91">
        <v>60</v>
      </c>
      <c r="J603" s="91">
        <v>34937.76</v>
      </c>
    </row>
    <row r="604" spans="1:10">
      <c r="A604" t="s">
        <v>681</v>
      </c>
      <c r="B604" t="s">
        <v>682</v>
      </c>
      <c r="C604" t="s">
        <v>20</v>
      </c>
      <c r="D604" t="s">
        <v>84</v>
      </c>
      <c r="E604" t="s">
        <v>89</v>
      </c>
      <c r="F604" t="s">
        <v>49</v>
      </c>
      <c r="G604" s="91">
        <v>582.296</v>
      </c>
      <c r="H604" s="91"/>
      <c r="I604" s="91">
        <v>60</v>
      </c>
      <c r="J604" s="91">
        <v>34937.76</v>
      </c>
    </row>
    <row r="605" spans="1:10">
      <c r="A605" t="s">
        <v>681</v>
      </c>
      <c r="B605" t="s">
        <v>682</v>
      </c>
      <c r="C605" t="s">
        <v>20</v>
      </c>
      <c r="D605" t="s">
        <v>84</v>
      </c>
      <c r="E605" t="s">
        <v>608</v>
      </c>
      <c r="F605" t="s">
        <v>100</v>
      </c>
      <c r="G605" s="91">
        <v>19579.712</v>
      </c>
      <c r="H605" s="91"/>
      <c r="I605" s="91">
        <v>66.9999997957069</v>
      </c>
      <c r="J605" s="91">
        <v>1311840.7</v>
      </c>
    </row>
    <row r="606" spans="1:10">
      <c r="A606" t="s">
        <v>681</v>
      </c>
      <c r="B606" t="s">
        <v>682</v>
      </c>
      <c r="C606" t="s">
        <v>20</v>
      </c>
      <c r="D606" t="s">
        <v>84</v>
      </c>
      <c r="E606" t="s">
        <v>609</v>
      </c>
      <c r="F606" t="s">
        <v>63</v>
      </c>
      <c r="G606" s="91">
        <v>582.296</v>
      </c>
      <c r="H606" s="91"/>
      <c r="I606" s="91">
        <v>135</v>
      </c>
      <c r="J606" s="91">
        <v>78609.96</v>
      </c>
    </row>
    <row r="607" spans="1:10">
      <c r="A607" t="s">
        <v>681</v>
      </c>
      <c r="B607" t="s">
        <v>682</v>
      </c>
      <c r="C607" t="s">
        <v>20</v>
      </c>
      <c r="D607" t="s">
        <v>84</v>
      </c>
      <c r="E607" t="s">
        <v>683</v>
      </c>
      <c r="F607" t="s">
        <v>611</v>
      </c>
      <c r="G607" s="91">
        <v>1164</v>
      </c>
      <c r="H607" s="91"/>
      <c r="I607" s="91">
        <v>205</v>
      </c>
      <c r="J607" s="91">
        <v>238620</v>
      </c>
    </row>
    <row r="608" spans="1:10">
      <c r="A608" t="s">
        <v>681</v>
      </c>
      <c r="B608" t="s">
        <v>682</v>
      </c>
      <c r="C608" t="s">
        <v>20</v>
      </c>
      <c r="D608" t="s">
        <v>84</v>
      </c>
      <c r="E608" t="s">
        <v>610</v>
      </c>
      <c r="F608" t="s">
        <v>611</v>
      </c>
      <c r="G608" s="91">
        <v>655.083</v>
      </c>
      <c r="H608" s="91"/>
      <c r="I608" s="91">
        <v>395.000007632621</v>
      </c>
      <c r="J608" s="91">
        <v>258757.79</v>
      </c>
    </row>
    <row r="609" spans="1:10">
      <c r="A609" t="s">
        <v>681</v>
      </c>
      <c r="B609" t="s">
        <v>682</v>
      </c>
      <c r="C609" t="s">
        <v>20</v>
      </c>
      <c r="D609" t="s">
        <v>84</v>
      </c>
      <c r="E609" t="s">
        <v>612</v>
      </c>
      <c r="F609" t="s">
        <v>611</v>
      </c>
      <c r="G609" s="91">
        <v>509.509</v>
      </c>
      <c r="H609" s="91"/>
      <c r="I609" s="91">
        <v>295.000009813369</v>
      </c>
      <c r="J609" s="91">
        <v>150305.16</v>
      </c>
    </row>
    <row r="610" spans="1:10">
      <c r="A610" t="s">
        <v>681</v>
      </c>
      <c r="B610" t="s">
        <v>682</v>
      </c>
      <c r="C610" t="s">
        <v>20</v>
      </c>
      <c r="D610" t="s">
        <v>84</v>
      </c>
      <c r="E610" t="s">
        <v>684</v>
      </c>
      <c r="F610" t="s">
        <v>23</v>
      </c>
      <c r="G610" s="91">
        <v>2474.759</v>
      </c>
      <c r="H610" s="91"/>
      <c r="I610" s="91">
        <v>37.9999991918405</v>
      </c>
      <c r="J610" s="91">
        <v>94040.84</v>
      </c>
    </row>
    <row r="611" spans="1:10">
      <c r="A611" t="s">
        <v>681</v>
      </c>
      <c r="B611" t="s">
        <v>682</v>
      </c>
      <c r="C611" t="s">
        <v>11</v>
      </c>
      <c r="D611" t="s">
        <v>613</v>
      </c>
      <c r="E611" t="s">
        <v>614</v>
      </c>
      <c r="F611" t="s">
        <v>108</v>
      </c>
      <c r="G611" s="91">
        <v>1513.97</v>
      </c>
      <c r="H611" s="91"/>
      <c r="I611" s="91">
        <v>40</v>
      </c>
      <c r="J611" s="91">
        <v>60558.8</v>
      </c>
    </row>
    <row r="612" spans="1:10">
      <c r="A612" t="s">
        <v>681</v>
      </c>
      <c r="B612" t="s">
        <v>682</v>
      </c>
      <c r="C612" t="s">
        <v>11</v>
      </c>
      <c r="D612" t="s">
        <v>613</v>
      </c>
      <c r="E612" t="s">
        <v>615</v>
      </c>
      <c r="F612" t="s">
        <v>108</v>
      </c>
      <c r="G612" s="91">
        <v>1513.97</v>
      </c>
      <c r="H612" s="91"/>
      <c r="I612" s="91">
        <v>30</v>
      </c>
      <c r="J612" s="91">
        <v>45419.1</v>
      </c>
    </row>
    <row r="613" spans="1:10">
      <c r="A613" t="s">
        <v>685</v>
      </c>
      <c r="B613" t="s">
        <v>686</v>
      </c>
      <c r="C613" t="s">
        <v>20</v>
      </c>
      <c r="D613" t="s">
        <v>102</v>
      </c>
      <c r="E613" t="s">
        <v>103</v>
      </c>
      <c r="F613" t="s">
        <v>46</v>
      </c>
      <c r="G613" s="91">
        <v>30.05</v>
      </c>
      <c r="H613" s="91"/>
      <c r="I613" s="91">
        <v>800</v>
      </c>
      <c r="J613" s="91">
        <v>24040</v>
      </c>
    </row>
    <row r="614" spans="1:10">
      <c r="A614" t="s">
        <v>685</v>
      </c>
      <c r="B614" t="s">
        <v>686</v>
      </c>
      <c r="C614" t="s">
        <v>20</v>
      </c>
      <c r="D614" t="s">
        <v>596</v>
      </c>
      <c r="E614" t="s">
        <v>597</v>
      </c>
      <c r="F614" t="s">
        <v>46</v>
      </c>
      <c r="G614" s="91">
        <v>156.195</v>
      </c>
      <c r="H614" s="91"/>
      <c r="I614" s="91">
        <v>2200</v>
      </c>
      <c r="J614" s="91">
        <v>343629</v>
      </c>
    </row>
    <row r="615" spans="1:10">
      <c r="A615" t="s">
        <v>685</v>
      </c>
      <c r="B615" t="s">
        <v>686</v>
      </c>
      <c r="C615" t="s">
        <v>11</v>
      </c>
      <c r="D615" t="s">
        <v>598</v>
      </c>
      <c r="E615" t="s">
        <v>599</v>
      </c>
      <c r="F615" t="s">
        <v>34</v>
      </c>
      <c r="G615" s="91">
        <v>1672.565</v>
      </c>
      <c r="H615" s="91"/>
      <c r="I615" s="91">
        <v>86.1099987145492</v>
      </c>
      <c r="J615" s="91">
        <v>144024.57</v>
      </c>
    </row>
    <row r="616" spans="1:10">
      <c r="A616" t="s">
        <v>685</v>
      </c>
      <c r="B616" t="s">
        <v>686</v>
      </c>
      <c r="C616" t="s">
        <v>20</v>
      </c>
      <c r="D616" t="s">
        <v>600</v>
      </c>
      <c r="E616" t="s">
        <v>601</v>
      </c>
      <c r="F616" t="s">
        <v>63</v>
      </c>
      <c r="G616" s="91">
        <v>8362.824</v>
      </c>
      <c r="H616" s="91"/>
      <c r="I616" s="91">
        <v>0.0800004878734743</v>
      </c>
      <c r="J616" s="91">
        <v>669.03</v>
      </c>
    </row>
    <row r="617" spans="1:10">
      <c r="A617" t="s">
        <v>687</v>
      </c>
      <c r="B617" t="s">
        <v>688</v>
      </c>
      <c r="C617" t="s">
        <v>11</v>
      </c>
      <c r="D617" t="s">
        <v>24</v>
      </c>
      <c r="E617" t="s">
        <v>604</v>
      </c>
      <c r="F617" t="s">
        <v>34</v>
      </c>
      <c r="G617" s="91">
        <v>15363.297</v>
      </c>
      <c r="H617" s="91"/>
      <c r="I617" s="91">
        <v>50</v>
      </c>
      <c r="J617" s="91">
        <v>768164.85</v>
      </c>
    </row>
    <row r="618" spans="1:10">
      <c r="A618" t="s">
        <v>687</v>
      </c>
      <c r="B618" t="s">
        <v>688</v>
      </c>
      <c r="C618" t="s">
        <v>11</v>
      </c>
      <c r="D618" t="s">
        <v>24</v>
      </c>
      <c r="E618" t="s">
        <v>605</v>
      </c>
      <c r="F618" t="s">
        <v>34</v>
      </c>
      <c r="G618" s="91">
        <v>3138.722</v>
      </c>
      <c r="H618" s="91"/>
      <c r="I618" s="91">
        <v>80</v>
      </c>
      <c r="J618" s="91">
        <v>251097.76</v>
      </c>
    </row>
    <row r="619" spans="1:10">
      <c r="A619" t="s">
        <v>687</v>
      </c>
      <c r="B619" t="s">
        <v>688</v>
      </c>
      <c r="C619" t="s">
        <v>11</v>
      </c>
      <c r="D619" t="s">
        <v>24</v>
      </c>
      <c r="E619" t="s">
        <v>606</v>
      </c>
      <c r="F619" t="s">
        <v>34</v>
      </c>
      <c r="G619" s="91">
        <v>15363.297</v>
      </c>
      <c r="H619" s="91"/>
      <c r="I619" s="91">
        <v>271.999999739639</v>
      </c>
      <c r="J619" s="91">
        <v>4178816.78</v>
      </c>
    </row>
    <row r="620" spans="1:10">
      <c r="A620" t="s">
        <v>687</v>
      </c>
      <c r="B620" t="s">
        <v>688</v>
      </c>
      <c r="C620" t="s">
        <v>20</v>
      </c>
      <c r="D620" t="s">
        <v>47</v>
      </c>
      <c r="E620" t="s">
        <v>50</v>
      </c>
      <c r="F620" t="s">
        <v>49</v>
      </c>
      <c r="G620" s="91">
        <v>460.899</v>
      </c>
      <c r="H620" s="91"/>
      <c r="I620" s="91">
        <v>60</v>
      </c>
      <c r="J620" s="91">
        <v>27653.94</v>
      </c>
    </row>
    <row r="621" spans="1:10">
      <c r="A621" t="s">
        <v>687</v>
      </c>
      <c r="B621" t="s">
        <v>688</v>
      </c>
      <c r="C621" t="s">
        <v>20</v>
      </c>
      <c r="D621" t="s">
        <v>61</v>
      </c>
      <c r="E621" t="s">
        <v>78</v>
      </c>
      <c r="F621" t="s">
        <v>49</v>
      </c>
      <c r="G621" s="91">
        <v>430.07</v>
      </c>
      <c r="H621" s="91"/>
      <c r="I621" s="91">
        <v>95</v>
      </c>
      <c r="J621" s="91">
        <v>40856.65</v>
      </c>
    </row>
    <row r="622" spans="1:10">
      <c r="A622" t="s">
        <v>687</v>
      </c>
      <c r="B622" t="s">
        <v>688</v>
      </c>
      <c r="C622" t="s">
        <v>20</v>
      </c>
      <c r="D622" t="s">
        <v>61</v>
      </c>
      <c r="E622" t="s">
        <v>607</v>
      </c>
      <c r="F622" t="s">
        <v>23</v>
      </c>
      <c r="G622" s="91">
        <v>172.028</v>
      </c>
      <c r="H622" s="91"/>
      <c r="I622" s="91">
        <v>115.200025577232</v>
      </c>
      <c r="J622" s="91">
        <v>19817.63</v>
      </c>
    </row>
    <row r="623" spans="1:10">
      <c r="A623" t="s">
        <v>687</v>
      </c>
      <c r="B623" t="s">
        <v>688</v>
      </c>
      <c r="C623" t="s">
        <v>20</v>
      </c>
      <c r="D623" t="s">
        <v>84</v>
      </c>
      <c r="E623" t="s">
        <v>86</v>
      </c>
      <c r="F623" t="s">
        <v>49</v>
      </c>
      <c r="G623" s="91">
        <v>307.266</v>
      </c>
      <c r="H623" s="91"/>
      <c r="I623" s="91">
        <v>60</v>
      </c>
      <c r="J623" s="91">
        <v>18435.96</v>
      </c>
    </row>
    <row r="624" spans="1:10">
      <c r="A624" t="s">
        <v>687</v>
      </c>
      <c r="B624" t="s">
        <v>688</v>
      </c>
      <c r="C624" t="s">
        <v>20</v>
      </c>
      <c r="D624" t="s">
        <v>84</v>
      </c>
      <c r="E624" t="s">
        <v>88</v>
      </c>
      <c r="F624" t="s">
        <v>49</v>
      </c>
      <c r="G624" s="91">
        <v>614.532</v>
      </c>
      <c r="H624" s="91"/>
      <c r="I624" s="91">
        <v>60</v>
      </c>
      <c r="J624" s="91">
        <v>36871.92</v>
      </c>
    </row>
    <row r="625" spans="1:10">
      <c r="A625" t="s">
        <v>687</v>
      </c>
      <c r="B625" t="s">
        <v>688</v>
      </c>
      <c r="C625" t="s">
        <v>20</v>
      </c>
      <c r="D625" t="s">
        <v>84</v>
      </c>
      <c r="E625" t="s">
        <v>89</v>
      </c>
      <c r="F625" t="s">
        <v>49</v>
      </c>
      <c r="G625" s="91">
        <v>614.532</v>
      </c>
      <c r="H625" s="91"/>
      <c r="I625" s="91">
        <v>60</v>
      </c>
      <c r="J625" s="91">
        <v>36871.92</v>
      </c>
    </row>
    <row r="626" spans="1:10">
      <c r="A626" t="s">
        <v>687</v>
      </c>
      <c r="B626" t="s">
        <v>688</v>
      </c>
      <c r="C626" t="s">
        <v>20</v>
      </c>
      <c r="D626" t="s">
        <v>84</v>
      </c>
      <c r="E626" t="s">
        <v>608</v>
      </c>
      <c r="F626" t="s">
        <v>100</v>
      </c>
      <c r="G626" s="91">
        <v>20663.634</v>
      </c>
      <c r="H626" s="91"/>
      <c r="I626" s="91">
        <v>67.0000000967884</v>
      </c>
      <c r="J626" s="91">
        <v>1384463.48</v>
      </c>
    </row>
    <row r="627" spans="1:10">
      <c r="A627" t="s">
        <v>687</v>
      </c>
      <c r="B627" t="s">
        <v>688</v>
      </c>
      <c r="C627" t="s">
        <v>20</v>
      </c>
      <c r="D627" t="s">
        <v>84</v>
      </c>
      <c r="E627" t="s">
        <v>609</v>
      </c>
      <c r="F627" t="s">
        <v>63</v>
      </c>
      <c r="G627" s="91">
        <v>614.532</v>
      </c>
      <c r="H627" s="91"/>
      <c r="I627" s="91">
        <v>135</v>
      </c>
      <c r="J627" s="91">
        <v>82961.82</v>
      </c>
    </row>
    <row r="628" spans="1:10">
      <c r="A628" t="s">
        <v>687</v>
      </c>
      <c r="B628" t="s">
        <v>688</v>
      </c>
      <c r="C628" t="s">
        <v>20</v>
      </c>
      <c r="D628" t="s">
        <v>84</v>
      </c>
      <c r="E628" t="s">
        <v>610</v>
      </c>
      <c r="F628" t="s">
        <v>611</v>
      </c>
      <c r="G628" s="91">
        <v>1413.423</v>
      </c>
      <c r="H628" s="91"/>
      <c r="I628" s="91">
        <v>395.000003537511</v>
      </c>
      <c r="J628" s="91">
        <v>558302.09</v>
      </c>
    </row>
    <row r="629" spans="1:10">
      <c r="A629" t="s">
        <v>687</v>
      </c>
      <c r="B629" t="s">
        <v>688</v>
      </c>
      <c r="C629" t="s">
        <v>20</v>
      </c>
      <c r="D629" t="s">
        <v>84</v>
      </c>
      <c r="E629" t="s">
        <v>612</v>
      </c>
      <c r="F629" t="s">
        <v>611</v>
      </c>
      <c r="G629" s="91">
        <v>1106.157</v>
      </c>
      <c r="H629" s="91"/>
      <c r="I629" s="91">
        <v>295.000004520154</v>
      </c>
      <c r="J629" s="91">
        <v>326316.32</v>
      </c>
    </row>
    <row r="630" spans="1:10">
      <c r="A630" t="s">
        <v>687</v>
      </c>
      <c r="B630" t="s">
        <v>688</v>
      </c>
      <c r="C630" t="s">
        <v>11</v>
      </c>
      <c r="D630" t="s">
        <v>613</v>
      </c>
      <c r="E630" t="s">
        <v>614</v>
      </c>
      <c r="F630" t="s">
        <v>108</v>
      </c>
      <c r="G630" s="91">
        <v>1597.783</v>
      </c>
      <c r="H630" s="91"/>
      <c r="I630" s="91">
        <v>40</v>
      </c>
      <c r="J630" s="91">
        <v>63911.32</v>
      </c>
    </row>
    <row r="631" spans="1:10">
      <c r="A631" t="s">
        <v>687</v>
      </c>
      <c r="B631" t="s">
        <v>688</v>
      </c>
      <c r="C631" t="s">
        <v>11</v>
      </c>
      <c r="D631" t="s">
        <v>613</v>
      </c>
      <c r="E631" t="s">
        <v>615</v>
      </c>
      <c r="F631" t="s">
        <v>108</v>
      </c>
      <c r="G631" s="91">
        <v>1597.783</v>
      </c>
      <c r="H631" s="91"/>
      <c r="I631" s="91">
        <v>30</v>
      </c>
      <c r="J631" s="91">
        <v>47933.49</v>
      </c>
    </row>
    <row r="632" spans="1:10">
      <c r="A632" t="s">
        <v>689</v>
      </c>
      <c r="B632" t="s">
        <v>690</v>
      </c>
      <c r="C632" t="s">
        <v>11</v>
      </c>
      <c r="D632" t="s">
        <v>618</v>
      </c>
      <c r="E632" t="s">
        <v>619</v>
      </c>
      <c r="F632" t="s">
        <v>23</v>
      </c>
      <c r="G632" s="91">
        <v>6.944</v>
      </c>
      <c r="H632" s="91"/>
      <c r="I632" s="91">
        <v>4750</v>
      </c>
      <c r="J632" s="91">
        <v>32984</v>
      </c>
    </row>
    <row r="633" spans="1:10">
      <c r="A633" t="s">
        <v>689</v>
      </c>
      <c r="B633" t="s">
        <v>690</v>
      </c>
      <c r="C633" t="s">
        <v>11</v>
      </c>
      <c r="D633" t="s">
        <v>618</v>
      </c>
      <c r="E633" t="s">
        <v>620</v>
      </c>
      <c r="F633" t="s">
        <v>23</v>
      </c>
      <c r="G633" s="91">
        <v>0.992</v>
      </c>
      <c r="H633" s="91"/>
      <c r="I633" s="91">
        <v>2375</v>
      </c>
      <c r="J633" s="91">
        <v>2356</v>
      </c>
    </row>
    <row r="634" spans="1:10">
      <c r="A634" t="s">
        <v>689</v>
      </c>
      <c r="B634" t="s">
        <v>690</v>
      </c>
      <c r="C634" t="s">
        <v>11</v>
      </c>
      <c r="D634" t="s">
        <v>618</v>
      </c>
      <c r="E634" t="s">
        <v>621</v>
      </c>
      <c r="F634" t="s">
        <v>23</v>
      </c>
      <c r="G634" s="91">
        <v>0.166</v>
      </c>
      <c r="H634" s="91"/>
      <c r="I634" s="91">
        <v>3000</v>
      </c>
      <c r="J634" s="91">
        <v>498</v>
      </c>
    </row>
    <row r="635" spans="1:10">
      <c r="A635" t="s">
        <v>691</v>
      </c>
      <c r="B635" t="s">
        <v>692</v>
      </c>
      <c r="C635" t="s">
        <v>20</v>
      </c>
      <c r="D635" t="s">
        <v>47</v>
      </c>
      <c r="E635" t="s">
        <v>48</v>
      </c>
      <c r="F635" t="s">
        <v>49</v>
      </c>
      <c r="G635" s="91">
        <v>2694.684</v>
      </c>
      <c r="H635" s="91"/>
      <c r="I635" s="91">
        <v>75</v>
      </c>
      <c r="J635" s="91">
        <v>202101.3</v>
      </c>
    </row>
    <row r="636" spans="1:10">
      <c r="A636" t="s">
        <v>691</v>
      </c>
      <c r="B636" t="s">
        <v>692</v>
      </c>
      <c r="C636" t="s">
        <v>20</v>
      </c>
      <c r="D636" t="s">
        <v>624</v>
      </c>
      <c r="E636" t="s">
        <v>625</v>
      </c>
      <c r="F636" t="s">
        <v>23</v>
      </c>
      <c r="G636" s="91">
        <v>6736.71</v>
      </c>
      <c r="H636" s="91"/>
      <c r="I636" s="91">
        <v>0.800000296880822</v>
      </c>
      <c r="J636" s="91">
        <v>5389.37</v>
      </c>
    </row>
    <row r="637" spans="1:10">
      <c r="A637" t="s">
        <v>691</v>
      </c>
      <c r="B637" t="s">
        <v>692</v>
      </c>
      <c r="C637" t="s">
        <v>20</v>
      </c>
      <c r="D637" t="s">
        <v>624</v>
      </c>
      <c r="E637" t="s">
        <v>626</v>
      </c>
      <c r="F637" t="s">
        <v>23</v>
      </c>
      <c r="G637" s="91">
        <v>6736.71</v>
      </c>
      <c r="H637" s="91"/>
      <c r="I637" s="91">
        <v>0.900000148440411</v>
      </c>
      <c r="J637" s="91">
        <v>6063.04</v>
      </c>
    </row>
    <row r="638" spans="1:10">
      <c r="A638" t="s">
        <v>691</v>
      </c>
      <c r="B638" t="s">
        <v>692</v>
      </c>
      <c r="C638" t="s">
        <v>20</v>
      </c>
      <c r="D638" t="s">
        <v>624</v>
      </c>
      <c r="E638" t="s">
        <v>627</v>
      </c>
      <c r="F638" t="s">
        <v>23</v>
      </c>
      <c r="G638" s="91">
        <v>6736.71</v>
      </c>
      <c r="H638" s="91"/>
      <c r="I638" s="91">
        <v>3.09999985155959</v>
      </c>
      <c r="J638" s="91">
        <v>20883.8</v>
      </c>
    </row>
    <row r="639" spans="1:10">
      <c r="A639" t="s">
        <v>691</v>
      </c>
      <c r="B639" t="s">
        <v>692</v>
      </c>
      <c r="C639" t="s">
        <v>20</v>
      </c>
      <c r="D639" t="s">
        <v>624</v>
      </c>
      <c r="E639" t="s">
        <v>628</v>
      </c>
      <c r="F639" t="s">
        <v>23</v>
      </c>
      <c r="G639" s="91">
        <v>8420.887</v>
      </c>
      <c r="H639" s="91"/>
      <c r="I639" s="91">
        <v>3.1000000356257</v>
      </c>
      <c r="J639" s="91">
        <v>26104.75</v>
      </c>
    </row>
    <row r="640" spans="1:10">
      <c r="A640" t="s">
        <v>691</v>
      </c>
      <c r="B640" t="s">
        <v>692</v>
      </c>
      <c r="C640" t="s">
        <v>20</v>
      </c>
      <c r="D640" t="s">
        <v>624</v>
      </c>
      <c r="E640" t="s">
        <v>629</v>
      </c>
      <c r="F640" t="s">
        <v>23</v>
      </c>
      <c r="G640" s="91">
        <v>3368.355</v>
      </c>
      <c r="H640" s="91"/>
      <c r="I640" s="91">
        <v>6.50000074220205</v>
      </c>
      <c r="J640" s="91">
        <v>21894.31</v>
      </c>
    </row>
    <row r="641" spans="1:10">
      <c r="A641" t="s">
        <v>691</v>
      </c>
      <c r="B641" t="s">
        <v>692</v>
      </c>
      <c r="C641" t="s">
        <v>11</v>
      </c>
      <c r="D641" t="s">
        <v>630</v>
      </c>
      <c r="E641" t="s">
        <v>631</v>
      </c>
      <c r="F641" t="s">
        <v>17</v>
      </c>
      <c r="G641" s="91">
        <v>224.557</v>
      </c>
      <c r="H641" s="91"/>
      <c r="I641" s="91">
        <v>9380</v>
      </c>
      <c r="J641" s="91">
        <v>2106344.66</v>
      </c>
    </row>
    <row r="642" spans="1:10">
      <c r="A642" t="s">
        <v>693</v>
      </c>
      <c r="B642" t="s">
        <v>694</v>
      </c>
      <c r="C642" t="s">
        <v>11</v>
      </c>
      <c r="D642" t="s">
        <v>634</v>
      </c>
      <c r="E642" t="s">
        <v>635</v>
      </c>
      <c r="F642" t="s">
        <v>23</v>
      </c>
      <c r="G642" s="91">
        <v>3696.432</v>
      </c>
      <c r="H642" s="91"/>
      <c r="I642" s="91">
        <v>15.9999994589377</v>
      </c>
      <c r="J642" s="91">
        <v>59142.91</v>
      </c>
    </row>
    <row r="643" spans="1:10">
      <c r="A643" t="s">
        <v>693</v>
      </c>
      <c r="B643" t="s">
        <v>694</v>
      </c>
      <c r="C643" t="s">
        <v>20</v>
      </c>
      <c r="D643" t="s">
        <v>636</v>
      </c>
      <c r="E643" t="s">
        <v>637</v>
      </c>
      <c r="F643" t="s">
        <v>23</v>
      </c>
      <c r="G643" s="91">
        <v>1848.216</v>
      </c>
      <c r="H643" s="91"/>
      <c r="I643" s="91">
        <v>40</v>
      </c>
      <c r="J643" s="91">
        <v>73928.64</v>
      </c>
    </row>
    <row r="644" spans="1:10">
      <c r="A644" t="s">
        <v>695</v>
      </c>
      <c r="B644" t="s">
        <v>696</v>
      </c>
      <c r="C644" t="s">
        <v>11</v>
      </c>
      <c r="D644" t="s">
        <v>634</v>
      </c>
      <c r="E644" t="s">
        <v>640</v>
      </c>
      <c r="F644" t="s">
        <v>23</v>
      </c>
      <c r="G644" s="91">
        <v>1848.216</v>
      </c>
      <c r="H644" s="91"/>
      <c r="I644" s="91">
        <v>16.9999989178754</v>
      </c>
      <c r="J644" s="91">
        <v>31419.67</v>
      </c>
    </row>
    <row r="645" spans="1:10">
      <c r="A645" t="s">
        <v>695</v>
      </c>
      <c r="B645" t="s">
        <v>696</v>
      </c>
      <c r="C645" t="s">
        <v>20</v>
      </c>
      <c r="D645" t="s">
        <v>636</v>
      </c>
      <c r="E645" t="s">
        <v>641</v>
      </c>
      <c r="F645" t="s">
        <v>23</v>
      </c>
      <c r="G645" s="91">
        <v>924.108</v>
      </c>
      <c r="H645" s="91"/>
      <c r="I645" s="91">
        <v>58.9999978357508</v>
      </c>
      <c r="J645" s="91">
        <v>54522.37</v>
      </c>
    </row>
    <row r="646" spans="1:10">
      <c r="A646" t="s">
        <v>697</v>
      </c>
      <c r="B646" t="s">
        <v>698</v>
      </c>
      <c r="C646" t="s">
        <v>11</v>
      </c>
      <c r="D646" t="s">
        <v>634</v>
      </c>
      <c r="E646" t="s">
        <v>650</v>
      </c>
      <c r="F646" t="s">
        <v>23</v>
      </c>
      <c r="G646" s="91">
        <v>739.336</v>
      </c>
      <c r="H646" s="91"/>
      <c r="I646" s="91">
        <v>18.00000270513</v>
      </c>
      <c r="J646" s="91">
        <v>13308.05</v>
      </c>
    </row>
    <row r="647" spans="1:10">
      <c r="A647" t="s">
        <v>697</v>
      </c>
      <c r="B647" t="s">
        <v>698</v>
      </c>
      <c r="C647" t="s">
        <v>20</v>
      </c>
      <c r="D647" t="s">
        <v>636</v>
      </c>
      <c r="E647" t="s">
        <v>644</v>
      </c>
      <c r="F647" t="s">
        <v>23</v>
      </c>
      <c r="G647" s="91">
        <v>369.668</v>
      </c>
      <c r="H647" s="91"/>
      <c r="I647" s="91">
        <v>102.99998917948</v>
      </c>
      <c r="J647" s="91">
        <v>38075.8</v>
      </c>
    </row>
    <row r="648" spans="1:10">
      <c r="A648" t="s">
        <v>699</v>
      </c>
      <c r="B648" t="s">
        <v>700</v>
      </c>
      <c r="C648" t="s">
        <v>11</v>
      </c>
      <c r="D648" t="s">
        <v>634</v>
      </c>
      <c r="E648" t="s">
        <v>635</v>
      </c>
      <c r="F648" t="s">
        <v>23</v>
      </c>
      <c r="G648" s="91">
        <v>369.792</v>
      </c>
      <c r="H648" s="91"/>
      <c r="I648" s="91">
        <v>15.9999945915542</v>
      </c>
      <c r="J648" s="91">
        <v>5916.67</v>
      </c>
    </row>
    <row r="649" spans="1:10">
      <c r="A649" t="s">
        <v>699</v>
      </c>
      <c r="B649" t="s">
        <v>700</v>
      </c>
      <c r="C649" t="s">
        <v>11</v>
      </c>
      <c r="D649" t="s">
        <v>634</v>
      </c>
      <c r="E649" t="s">
        <v>640</v>
      </c>
      <c r="F649" t="s">
        <v>23</v>
      </c>
      <c r="G649" s="91">
        <v>369.792</v>
      </c>
      <c r="H649" s="91"/>
      <c r="I649" s="91">
        <v>16.9999891831083</v>
      </c>
      <c r="J649" s="91">
        <v>6286.46</v>
      </c>
    </row>
    <row r="650" spans="1:10">
      <c r="A650" t="s">
        <v>699</v>
      </c>
      <c r="B650" t="s">
        <v>700</v>
      </c>
      <c r="C650" t="s">
        <v>20</v>
      </c>
      <c r="D650" t="s">
        <v>636</v>
      </c>
      <c r="E650" t="s">
        <v>647</v>
      </c>
      <c r="F650" t="s">
        <v>23</v>
      </c>
      <c r="G650" s="91">
        <v>184.896</v>
      </c>
      <c r="H650" s="91"/>
      <c r="I650" s="91">
        <v>63.0000108168917</v>
      </c>
      <c r="J650" s="91">
        <v>11648.45</v>
      </c>
    </row>
    <row r="651" spans="1:10">
      <c r="A651" t="s">
        <v>701</v>
      </c>
      <c r="B651" t="s">
        <v>702</v>
      </c>
      <c r="C651" t="s">
        <v>11</v>
      </c>
      <c r="D651" t="s">
        <v>634</v>
      </c>
      <c r="E651" t="s">
        <v>640</v>
      </c>
      <c r="F651" t="s">
        <v>23</v>
      </c>
      <c r="G651" s="91">
        <v>369.792</v>
      </c>
      <c r="H651" s="91"/>
      <c r="I651" s="91">
        <v>16.9999891831083</v>
      </c>
      <c r="J651" s="91">
        <v>6286.46</v>
      </c>
    </row>
    <row r="652" spans="1:10">
      <c r="A652" t="s">
        <v>701</v>
      </c>
      <c r="B652" t="s">
        <v>702</v>
      </c>
      <c r="C652" t="s">
        <v>11</v>
      </c>
      <c r="D652" t="s">
        <v>634</v>
      </c>
      <c r="E652" t="s">
        <v>650</v>
      </c>
      <c r="F652" t="s">
        <v>23</v>
      </c>
      <c r="G652" s="91">
        <v>369.792</v>
      </c>
      <c r="H652" s="91"/>
      <c r="I652" s="91">
        <v>18.0000108168917</v>
      </c>
      <c r="J652" s="91">
        <v>6656.26</v>
      </c>
    </row>
    <row r="653" spans="1:10">
      <c r="A653" t="s">
        <v>701</v>
      </c>
      <c r="B653" t="s">
        <v>702</v>
      </c>
      <c r="C653" t="s">
        <v>20</v>
      </c>
      <c r="D653" t="s">
        <v>636</v>
      </c>
      <c r="E653" t="s">
        <v>651</v>
      </c>
      <c r="F653" t="s">
        <v>23</v>
      </c>
      <c r="G653" s="91">
        <v>184.896</v>
      </c>
      <c r="H653" s="91"/>
      <c r="I653" s="91">
        <v>108.000010816892</v>
      </c>
      <c r="J653" s="91">
        <v>19968.77</v>
      </c>
    </row>
    <row r="654" spans="1:10">
      <c r="A654" t="s">
        <v>703</v>
      </c>
      <c r="B654" t="s">
        <v>704</v>
      </c>
      <c r="C654" t="s">
        <v>11</v>
      </c>
      <c r="D654" t="s">
        <v>634</v>
      </c>
      <c r="E654" t="s">
        <v>635</v>
      </c>
      <c r="F654" t="s">
        <v>23</v>
      </c>
      <c r="G654" s="91">
        <v>369.792</v>
      </c>
      <c r="H654" s="91"/>
      <c r="I654" s="91">
        <v>15.9999945915542</v>
      </c>
      <c r="J654" s="91">
        <v>5916.67</v>
      </c>
    </row>
    <row r="655" spans="1:10">
      <c r="A655" t="s">
        <v>703</v>
      </c>
      <c r="B655" t="s">
        <v>704</v>
      </c>
      <c r="C655" t="s">
        <v>11</v>
      </c>
      <c r="D655" t="s">
        <v>634</v>
      </c>
      <c r="E655" t="s">
        <v>650</v>
      </c>
      <c r="F655" t="s">
        <v>23</v>
      </c>
      <c r="G655" s="91">
        <v>369.792</v>
      </c>
      <c r="H655" s="91"/>
      <c r="I655" s="91">
        <v>18.0000108168917</v>
      </c>
      <c r="J655" s="91">
        <v>6656.26</v>
      </c>
    </row>
    <row r="656" spans="1:10">
      <c r="A656" t="s">
        <v>703</v>
      </c>
      <c r="B656" t="s">
        <v>704</v>
      </c>
      <c r="C656" t="s">
        <v>20</v>
      </c>
      <c r="D656" t="s">
        <v>636</v>
      </c>
      <c r="E656" t="s">
        <v>654</v>
      </c>
      <c r="F656" t="s">
        <v>23</v>
      </c>
      <c r="G656" s="91">
        <v>184.896</v>
      </c>
      <c r="H656" s="91"/>
      <c r="I656" s="91">
        <v>108.999978366217</v>
      </c>
      <c r="J656" s="91">
        <v>20153.66</v>
      </c>
    </row>
    <row r="657" spans="1:10">
      <c r="A657" t="s">
        <v>705</v>
      </c>
      <c r="B657" t="s">
        <v>706</v>
      </c>
      <c r="C657" t="s">
        <v>20</v>
      </c>
      <c r="D657" t="s">
        <v>47</v>
      </c>
      <c r="E657" t="s">
        <v>48</v>
      </c>
      <c r="F657" t="s">
        <v>49</v>
      </c>
      <c r="G657" s="91">
        <v>4688.184</v>
      </c>
      <c r="H657" s="91"/>
      <c r="I657" s="91">
        <v>75</v>
      </c>
      <c r="J657" s="91">
        <v>351613.8</v>
      </c>
    </row>
    <row r="658" spans="1:10">
      <c r="A658" t="s">
        <v>705</v>
      </c>
      <c r="B658" t="s">
        <v>706</v>
      </c>
      <c r="C658" t="s">
        <v>20</v>
      </c>
      <c r="D658" t="s">
        <v>624</v>
      </c>
      <c r="E658" t="s">
        <v>625</v>
      </c>
      <c r="F658" t="s">
        <v>23</v>
      </c>
      <c r="G658" s="91">
        <v>11720.46</v>
      </c>
      <c r="H658" s="91"/>
      <c r="I658" s="91">
        <v>0.800000170641767</v>
      </c>
      <c r="J658" s="91">
        <v>9376.37</v>
      </c>
    </row>
    <row r="659" spans="1:10">
      <c r="A659" t="s">
        <v>705</v>
      </c>
      <c r="B659" t="s">
        <v>706</v>
      </c>
      <c r="C659" t="s">
        <v>20</v>
      </c>
      <c r="D659" t="s">
        <v>624</v>
      </c>
      <c r="E659" t="s">
        <v>626</v>
      </c>
      <c r="F659" t="s">
        <v>23</v>
      </c>
      <c r="G659" s="91">
        <v>11720.46</v>
      </c>
      <c r="H659" s="91"/>
      <c r="I659" s="91">
        <v>0.899999658716467</v>
      </c>
      <c r="J659" s="91">
        <v>10548.41</v>
      </c>
    </row>
    <row r="660" spans="1:10">
      <c r="A660" t="s">
        <v>705</v>
      </c>
      <c r="B660" t="s">
        <v>706</v>
      </c>
      <c r="C660" t="s">
        <v>20</v>
      </c>
      <c r="D660" t="s">
        <v>624</v>
      </c>
      <c r="E660" t="s">
        <v>627</v>
      </c>
      <c r="F660" t="s">
        <v>23</v>
      </c>
      <c r="G660" s="91">
        <v>11720.46</v>
      </c>
      <c r="H660" s="91"/>
      <c r="I660" s="91">
        <v>3.10000034128353</v>
      </c>
      <c r="J660" s="91">
        <v>36333.43</v>
      </c>
    </row>
    <row r="661" spans="1:10">
      <c r="A661" t="s">
        <v>705</v>
      </c>
      <c r="B661" t="s">
        <v>706</v>
      </c>
      <c r="C661" t="s">
        <v>20</v>
      </c>
      <c r="D661" t="s">
        <v>624</v>
      </c>
      <c r="E661" t="s">
        <v>628</v>
      </c>
      <c r="F661" t="s">
        <v>23</v>
      </c>
      <c r="G661" s="91">
        <v>14650.575</v>
      </c>
      <c r="H661" s="91"/>
      <c r="I661" s="91">
        <v>3.09999982935823</v>
      </c>
      <c r="J661" s="91">
        <v>45416.78</v>
      </c>
    </row>
    <row r="662" spans="1:10">
      <c r="A662" t="s">
        <v>705</v>
      </c>
      <c r="B662" t="s">
        <v>706</v>
      </c>
      <c r="C662" t="s">
        <v>20</v>
      </c>
      <c r="D662" t="s">
        <v>624</v>
      </c>
      <c r="E662" t="s">
        <v>629</v>
      </c>
      <c r="F662" t="s">
        <v>23</v>
      </c>
      <c r="G662" s="91">
        <v>5860.23</v>
      </c>
      <c r="H662" s="91"/>
      <c r="I662" s="91">
        <v>6.50000085320883</v>
      </c>
      <c r="J662" s="91">
        <v>38091.5</v>
      </c>
    </row>
    <row r="663" spans="1:10">
      <c r="A663" t="s">
        <v>705</v>
      </c>
      <c r="B663" t="s">
        <v>706</v>
      </c>
      <c r="C663" t="s">
        <v>11</v>
      </c>
      <c r="D663" t="s">
        <v>630</v>
      </c>
      <c r="E663" t="s">
        <v>631</v>
      </c>
      <c r="F663" t="s">
        <v>17</v>
      </c>
      <c r="G663" s="91">
        <v>390.682</v>
      </c>
      <c r="H663" s="91"/>
      <c r="I663" s="91">
        <v>9380</v>
      </c>
      <c r="J663" s="91">
        <v>3664597.16</v>
      </c>
    </row>
    <row r="664" spans="1:10">
      <c r="A664" t="s">
        <v>707</v>
      </c>
      <c r="B664" t="s">
        <v>708</v>
      </c>
      <c r="C664" t="s">
        <v>11</v>
      </c>
      <c r="D664" t="s">
        <v>657</v>
      </c>
      <c r="E664" t="s">
        <v>658</v>
      </c>
      <c r="F664" t="s">
        <v>34</v>
      </c>
      <c r="G664" s="91">
        <v>1923.818</v>
      </c>
      <c r="H664" s="91"/>
      <c r="I664" s="91">
        <v>45</v>
      </c>
      <c r="J664" s="91">
        <v>86571.81</v>
      </c>
    </row>
    <row r="665" spans="1:10">
      <c r="A665" t="s">
        <v>709</v>
      </c>
      <c r="B665" t="s">
        <v>710</v>
      </c>
      <c r="C665" t="s">
        <v>11</v>
      </c>
      <c r="D665" t="s">
        <v>634</v>
      </c>
      <c r="E665" t="s">
        <v>635</v>
      </c>
      <c r="F665" t="s">
        <v>23</v>
      </c>
      <c r="G665" s="91">
        <v>1109.554</v>
      </c>
      <c r="H665" s="91"/>
      <c r="I665" s="91">
        <v>15.9999963949479</v>
      </c>
      <c r="J665" s="91">
        <v>17752.86</v>
      </c>
    </row>
    <row r="666" spans="1:10">
      <c r="A666" t="s">
        <v>709</v>
      </c>
      <c r="B666" t="s">
        <v>710</v>
      </c>
      <c r="C666" t="s">
        <v>20</v>
      </c>
      <c r="D666" t="s">
        <v>636</v>
      </c>
      <c r="E666" t="s">
        <v>637</v>
      </c>
      <c r="F666" t="s">
        <v>23</v>
      </c>
      <c r="G666" s="91">
        <v>554.777</v>
      </c>
      <c r="H666" s="91"/>
      <c r="I666" s="91">
        <v>40</v>
      </c>
      <c r="J666" s="91">
        <v>22191.08</v>
      </c>
    </row>
    <row r="667" spans="1:10">
      <c r="A667" t="s">
        <v>711</v>
      </c>
      <c r="B667" t="s">
        <v>712</v>
      </c>
      <c r="C667" t="s">
        <v>11</v>
      </c>
      <c r="D667" t="s">
        <v>12</v>
      </c>
      <c r="E667" t="s">
        <v>13</v>
      </c>
      <c r="F667" t="s">
        <v>14</v>
      </c>
      <c r="G667" s="91">
        <v>0.724</v>
      </c>
      <c r="H667" s="91"/>
      <c r="I667" s="91">
        <v>450</v>
      </c>
      <c r="J667" s="91">
        <v>325.8</v>
      </c>
    </row>
    <row r="668" spans="1:10">
      <c r="A668" t="s">
        <v>711</v>
      </c>
      <c r="B668" t="s">
        <v>712</v>
      </c>
      <c r="C668" t="s">
        <v>11</v>
      </c>
      <c r="D668" t="s">
        <v>12</v>
      </c>
      <c r="E668" t="s">
        <v>15</v>
      </c>
      <c r="F668" t="s">
        <v>14</v>
      </c>
      <c r="G668" s="91">
        <v>0.113</v>
      </c>
      <c r="H668" s="91"/>
      <c r="I668" s="91">
        <v>600</v>
      </c>
      <c r="J668" s="91">
        <v>67.8</v>
      </c>
    </row>
    <row r="669" spans="1:10">
      <c r="A669" t="s">
        <v>711</v>
      </c>
      <c r="B669" t="s">
        <v>712</v>
      </c>
      <c r="C669" t="s">
        <v>11</v>
      </c>
      <c r="D669" t="s">
        <v>12</v>
      </c>
      <c r="E669" t="s">
        <v>28</v>
      </c>
      <c r="F669" t="s">
        <v>14</v>
      </c>
      <c r="G669" s="91">
        <v>0.034</v>
      </c>
      <c r="H669" s="91"/>
      <c r="I669" s="91">
        <v>600</v>
      </c>
      <c r="J669" s="91">
        <v>20.4</v>
      </c>
    </row>
    <row r="670" spans="1:10">
      <c r="A670" t="s">
        <v>711</v>
      </c>
      <c r="B670" t="s">
        <v>712</v>
      </c>
      <c r="C670" t="s">
        <v>20</v>
      </c>
      <c r="D670" t="s">
        <v>106</v>
      </c>
      <c r="E670" t="s">
        <v>107</v>
      </c>
      <c r="F670" t="s">
        <v>108</v>
      </c>
      <c r="G670" s="91">
        <v>1.384</v>
      </c>
      <c r="H670" s="91"/>
      <c r="I670" s="91">
        <v>3362.00144508671</v>
      </c>
      <c r="J670" s="91">
        <v>4653.01</v>
      </c>
    </row>
    <row r="671" spans="1:10">
      <c r="A671" t="s">
        <v>711</v>
      </c>
      <c r="B671" t="s">
        <v>712</v>
      </c>
      <c r="C671" t="s">
        <v>20</v>
      </c>
      <c r="D671" t="s">
        <v>596</v>
      </c>
      <c r="E671" t="s">
        <v>597</v>
      </c>
      <c r="F671" t="s">
        <v>46</v>
      </c>
      <c r="G671" s="91">
        <v>0.319</v>
      </c>
      <c r="H671" s="91"/>
      <c r="I671" s="91">
        <v>2200</v>
      </c>
      <c r="J671" s="91">
        <v>701.8</v>
      </c>
    </row>
    <row r="672" spans="1:10">
      <c r="A672" t="s">
        <v>713</v>
      </c>
      <c r="B672" t="s">
        <v>714</v>
      </c>
      <c r="C672" t="s">
        <v>11</v>
      </c>
      <c r="D672" t="s">
        <v>634</v>
      </c>
      <c r="E672" t="s">
        <v>640</v>
      </c>
      <c r="F672" t="s">
        <v>23</v>
      </c>
      <c r="G672" s="91">
        <v>554.888</v>
      </c>
      <c r="H672" s="91"/>
      <c r="I672" s="91">
        <v>17.0000072086619</v>
      </c>
      <c r="J672" s="91">
        <v>9433.1</v>
      </c>
    </row>
    <row r="673" spans="1:10">
      <c r="A673" t="s">
        <v>713</v>
      </c>
      <c r="B673" t="s">
        <v>714</v>
      </c>
      <c r="C673" t="s">
        <v>20</v>
      </c>
      <c r="D673" t="s">
        <v>636</v>
      </c>
      <c r="E673" t="s">
        <v>641</v>
      </c>
      <c r="F673" t="s">
        <v>23</v>
      </c>
      <c r="G673" s="91">
        <v>277.444</v>
      </c>
      <c r="H673" s="91"/>
      <c r="I673" s="91">
        <v>59.0000144173239</v>
      </c>
      <c r="J673" s="91">
        <v>16369.2</v>
      </c>
    </row>
    <row r="674" spans="1:10">
      <c r="A674" t="s">
        <v>715</v>
      </c>
      <c r="B674" t="s">
        <v>716</v>
      </c>
      <c r="C674" t="s">
        <v>11</v>
      </c>
      <c r="D674" t="s">
        <v>12</v>
      </c>
      <c r="E674" t="s">
        <v>13</v>
      </c>
      <c r="F674" t="s">
        <v>14</v>
      </c>
      <c r="G674" s="91">
        <v>0.724</v>
      </c>
      <c r="H674" s="91"/>
      <c r="I674" s="91">
        <v>450</v>
      </c>
      <c r="J674" s="91">
        <v>325.8</v>
      </c>
    </row>
    <row r="675" spans="1:10">
      <c r="A675" t="s">
        <v>715</v>
      </c>
      <c r="B675" t="s">
        <v>716</v>
      </c>
      <c r="C675" t="s">
        <v>11</v>
      </c>
      <c r="D675" t="s">
        <v>12</v>
      </c>
      <c r="E675" t="s">
        <v>15</v>
      </c>
      <c r="F675" t="s">
        <v>14</v>
      </c>
      <c r="G675" s="91">
        <v>0.113</v>
      </c>
      <c r="H675" s="91"/>
      <c r="I675" s="91">
        <v>600</v>
      </c>
      <c r="J675" s="91">
        <v>67.8</v>
      </c>
    </row>
    <row r="676" spans="1:10">
      <c r="A676" t="s">
        <v>715</v>
      </c>
      <c r="B676" t="s">
        <v>716</v>
      </c>
      <c r="C676" t="s">
        <v>11</v>
      </c>
      <c r="D676" t="s">
        <v>12</v>
      </c>
      <c r="E676" t="s">
        <v>28</v>
      </c>
      <c r="F676" t="s">
        <v>14</v>
      </c>
      <c r="G676" s="91">
        <v>0.034</v>
      </c>
      <c r="H676" s="91"/>
      <c r="I676" s="91">
        <v>600</v>
      </c>
      <c r="J676" s="91">
        <v>20.4</v>
      </c>
    </row>
    <row r="677" spans="1:10">
      <c r="A677" t="s">
        <v>715</v>
      </c>
      <c r="B677" t="s">
        <v>716</v>
      </c>
      <c r="C677" t="s">
        <v>20</v>
      </c>
      <c r="D677" t="s">
        <v>106</v>
      </c>
      <c r="E677" t="s">
        <v>107</v>
      </c>
      <c r="F677" t="s">
        <v>108</v>
      </c>
      <c r="G677" s="91">
        <v>2.306</v>
      </c>
      <c r="H677" s="91"/>
      <c r="I677" s="91">
        <v>3361.99913269731</v>
      </c>
      <c r="J677" s="91">
        <v>7752.77</v>
      </c>
    </row>
    <row r="678" spans="1:10">
      <c r="A678" t="s">
        <v>717</v>
      </c>
      <c r="B678" t="s">
        <v>718</v>
      </c>
      <c r="C678" t="s">
        <v>11</v>
      </c>
      <c r="D678" t="s">
        <v>634</v>
      </c>
      <c r="E678" t="s">
        <v>650</v>
      </c>
      <c r="F678" t="s">
        <v>23</v>
      </c>
      <c r="G678" s="91">
        <v>222</v>
      </c>
      <c r="H678" s="91"/>
      <c r="I678" s="91">
        <v>18</v>
      </c>
      <c r="J678" s="91">
        <v>3996</v>
      </c>
    </row>
    <row r="679" spans="1:10">
      <c r="A679" t="s">
        <v>717</v>
      </c>
      <c r="B679" t="s">
        <v>718</v>
      </c>
      <c r="C679" t="s">
        <v>20</v>
      </c>
      <c r="D679" t="s">
        <v>636</v>
      </c>
      <c r="E679" t="s">
        <v>644</v>
      </c>
      <c r="F679" t="s">
        <v>23</v>
      </c>
      <c r="G679" s="91">
        <v>111</v>
      </c>
      <c r="H679" s="91"/>
      <c r="I679" s="91">
        <v>103</v>
      </c>
      <c r="J679" s="91">
        <v>11433</v>
      </c>
    </row>
    <row r="680" spans="1:10">
      <c r="A680" t="s">
        <v>719</v>
      </c>
      <c r="B680" t="s">
        <v>720</v>
      </c>
      <c r="C680" t="s">
        <v>11</v>
      </c>
      <c r="D680" t="s">
        <v>665</v>
      </c>
      <c r="E680" t="s">
        <v>666</v>
      </c>
      <c r="F680" t="s">
        <v>34</v>
      </c>
      <c r="G680" s="91">
        <v>924.871</v>
      </c>
      <c r="H680" s="91"/>
      <c r="I680" s="91">
        <v>33.3099967454921</v>
      </c>
      <c r="J680" s="91">
        <v>30807.45</v>
      </c>
    </row>
    <row r="681" spans="1:10">
      <c r="A681" t="s">
        <v>719</v>
      </c>
      <c r="B681" t="s">
        <v>720</v>
      </c>
      <c r="C681" t="s">
        <v>11</v>
      </c>
      <c r="D681" t="s">
        <v>12</v>
      </c>
      <c r="E681" t="s">
        <v>13</v>
      </c>
      <c r="F681" t="s">
        <v>14</v>
      </c>
      <c r="G681" s="91">
        <v>46.978</v>
      </c>
      <c r="H681" s="91"/>
      <c r="I681" s="91">
        <v>450</v>
      </c>
      <c r="J681" s="91">
        <v>21140.1</v>
      </c>
    </row>
    <row r="682" spans="1:10">
      <c r="A682" t="s">
        <v>719</v>
      </c>
      <c r="B682" t="s">
        <v>720</v>
      </c>
      <c r="C682" t="s">
        <v>11</v>
      </c>
      <c r="D682" t="s">
        <v>12</v>
      </c>
      <c r="E682" t="s">
        <v>15</v>
      </c>
      <c r="F682" t="s">
        <v>14</v>
      </c>
      <c r="G682" s="91">
        <v>7.34</v>
      </c>
      <c r="H682" s="91"/>
      <c r="I682" s="91">
        <v>600</v>
      </c>
      <c r="J682" s="91">
        <v>4404</v>
      </c>
    </row>
    <row r="683" spans="1:10">
      <c r="A683" t="s">
        <v>719</v>
      </c>
      <c r="B683" t="s">
        <v>720</v>
      </c>
      <c r="C683" t="s">
        <v>11</v>
      </c>
      <c r="D683" t="s">
        <v>12</v>
      </c>
      <c r="E683" t="s">
        <v>28</v>
      </c>
      <c r="F683" t="s">
        <v>14</v>
      </c>
      <c r="G683" s="91">
        <v>2.202</v>
      </c>
      <c r="H683" s="91"/>
      <c r="I683" s="91">
        <v>600</v>
      </c>
      <c r="J683" s="91">
        <v>1321.2</v>
      </c>
    </row>
    <row r="684" spans="1:10">
      <c r="A684" t="s">
        <v>719</v>
      </c>
      <c r="B684" t="s">
        <v>720</v>
      </c>
      <c r="C684" t="s">
        <v>20</v>
      </c>
      <c r="D684" t="s">
        <v>59</v>
      </c>
      <c r="E684" t="s">
        <v>667</v>
      </c>
      <c r="F684" t="s">
        <v>49</v>
      </c>
      <c r="G684" s="91">
        <v>139.465</v>
      </c>
      <c r="H684" s="91"/>
      <c r="I684" s="91">
        <v>42</v>
      </c>
      <c r="J684" s="91">
        <v>5857.53</v>
      </c>
    </row>
    <row r="685" spans="1:10">
      <c r="A685" t="s">
        <v>719</v>
      </c>
      <c r="B685" t="s">
        <v>720</v>
      </c>
      <c r="C685" t="s">
        <v>20</v>
      </c>
      <c r="D685" t="s">
        <v>59</v>
      </c>
      <c r="E685" t="s">
        <v>668</v>
      </c>
      <c r="F685" t="s">
        <v>49</v>
      </c>
      <c r="G685" s="91">
        <v>187.91</v>
      </c>
      <c r="H685" s="91"/>
      <c r="I685" s="91">
        <v>15</v>
      </c>
      <c r="J685" s="91">
        <v>2818.65</v>
      </c>
    </row>
    <row r="686" spans="1:10">
      <c r="A686" t="s">
        <v>719</v>
      </c>
      <c r="B686" t="s">
        <v>720</v>
      </c>
      <c r="C686" t="s">
        <v>20</v>
      </c>
      <c r="D686" t="s">
        <v>59</v>
      </c>
      <c r="E686" t="s">
        <v>60</v>
      </c>
      <c r="F686" t="s">
        <v>49</v>
      </c>
      <c r="G686" s="91">
        <v>82.504</v>
      </c>
      <c r="H686" s="91"/>
      <c r="I686" s="91">
        <v>17.0000242412489</v>
      </c>
      <c r="J686" s="91">
        <v>1402.57</v>
      </c>
    </row>
    <row r="687" spans="1:10">
      <c r="A687" t="s">
        <v>719</v>
      </c>
      <c r="B687" t="s">
        <v>720</v>
      </c>
      <c r="C687" t="s">
        <v>20</v>
      </c>
      <c r="D687" t="s">
        <v>106</v>
      </c>
      <c r="E687" t="s">
        <v>669</v>
      </c>
      <c r="F687" t="s">
        <v>108</v>
      </c>
      <c r="G687" s="91">
        <v>149.741</v>
      </c>
      <c r="H687" s="91"/>
      <c r="I687" s="91">
        <v>4521.9999866436</v>
      </c>
      <c r="J687" s="91">
        <v>677128.8</v>
      </c>
    </row>
    <row r="688" spans="1:10">
      <c r="A688" t="s">
        <v>721</v>
      </c>
      <c r="B688" t="s">
        <v>722</v>
      </c>
      <c r="C688" t="s">
        <v>11</v>
      </c>
      <c r="D688" t="s">
        <v>634</v>
      </c>
      <c r="E688" t="s">
        <v>635</v>
      </c>
      <c r="F688" t="s">
        <v>23</v>
      </c>
      <c r="G688" s="91">
        <v>111.11</v>
      </c>
      <c r="H688" s="91"/>
      <c r="I688" s="91">
        <v>16</v>
      </c>
      <c r="J688" s="91">
        <v>1777.76</v>
      </c>
    </row>
    <row r="689" spans="1:10">
      <c r="A689" t="s">
        <v>721</v>
      </c>
      <c r="B689" t="s">
        <v>722</v>
      </c>
      <c r="C689" t="s">
        <v>11</v>
      </c>
      <c r="D689" t="s">
        <v>634</v>
      </c>
      <c r="E689" t="s">
        <v>640</v>
      </c>
      <c r="F689" t="s">
        <v>23</v>
      </c>
      <c r="G689" s="91">
        <v>111.11</v>
      </c>
      <c r="H689" s="91"/>
      <c r="I689" s="91">
        <v>17</v>
      </c>
      <c r="J689" s="91">
        <v>1888.87</v>
      </c>
    </row>
    <row r="690" spans="1:10">
      <c r="A690" t="s">
        <v>721</v>
      </c>
      <c r="B690" t="s">
        <v>722</v>
      </c>
      <c r="C690" t="s">
        <v>20</v>
      </c>
      <c r="D690" t="s">
        <v>636</v>
      </c>
      <c r="E690" t="s">
        <v>647</v>
      </c>
      <c r="F690" t="s">
        <v>23</v>
      </c>
      <c r="G690" s="91">
        <v>55.555</v>
      </c>
      <c r="H690" s="91"/>
      <c r="I690" s="91">
        <v>63.0000900009</v>
      </c>
      <c r="J690" s="91">
        <v>3499.97</v>
      </c>
    </row>
    <row r="691" spans="1:10">
      <c r="A691" t="s">
        <v>723</v>
      </c>
      <c r="B691" t="s">
        <v>724</v>
      </c>
      <c r="C691" t="s">
        <v>11</v>
      </c>
      <c r="D691" t="s">
        <v>665</v>
      </c>
      <c r="E691" t="s">
        <v>666</v>
      </c>
      <c r="F691" t="s">
        <v>34</v>
      </c>
      <c r="G691" s="91">
        <v>629.855</v>
      </c>
      <c r="H691" s="91"/>
      <c r="I691" s="91">
        <v>33.3099999206166</v>
      </c>
      <c r="J691" s="91">
        <v>20980.47</v>
      </c>
    </row>
    <row r="692" spans="1:10">
      <c r="A692" t="s">
        <v>723</v>
      </c>
      <c r="B692" t="s">
        <v>724</v>
      </c>
      <c r="C692" t="s">
        <v>11</v>
      </c>
      <c r="D692" t="s">
        <v>12</v>
      </c>
      <c r="E692" t="s">
        <v>13</v>
      </c>
      <c r="F692" t="s">
        <v>14</v>
      </c>
      <c r="G692" s="91">
        <v>31.993</v>
      </c>
      <c r="H692" s="91"/>
      <c r="I692" s="91">
        <v>450</v>
      </c>
      <c r="J692" s="91">
        <v>14396.85</v>
      </c>
    </row>
    <row r="693" spans="1:10">
      <c r="A693" t="s">
        <v>723</v>
      </c>
      <c r="B693" t="s">
        <v>724</v>
      </c>
      <c r="C693" t="s">
        <v>11</v>
      </c>
      <c r="D693" t="s">
        <v>12</v>
      </c>
      <c r="E693" t="s">
        <v>15</v>
      </c>
      <c r="F693" t="s">
        <v>14</v>
      </c>
      <c r="G693" s="91">
        <v>4.999</v>
      </c>
      <c r="H693" s="91"/>
      <c r="I693" s="91">
        <v>600</v>
      </c>
      <c r="J693" s="91">
        <v>2999.4</v>
      </c>
    </row>
    <row r="694" spans="1:10">
      <c r="A694" t="s">
        <v>723</v>
      </c>
      <c r="B694" t="s">
        <v>724</v>
      </c>
      <c r="C694" t="s">
        <v>11</v>
      </c>
      <c r="D694" t="s">
        <v>12</v>
      </c>
      <c r="E694" t="s">
        <v>28</v>
      </c>
      <c r="F694" t="s">
        <v>14</v>
      </c>
      <c r="G694" s="91">
        <v>1.5</v>
      </c>
      <c r="H694" s="91"/>
      <c r="I694" s="91">
        <v>600</v>
      </c>
      <c r="J694" s="91">
        <v>900</v>
      </c>
    </row>
    <row r="695" spans="1:10">
      <c r="A695" t="s">
        <v>723</v>
      </c>
      <c r="B695" t="s">
        <v>724</v>
      </c>
      <c r="C695" t="s">
        <v>20</v>
      </c>
      <c r="D695" t="s">
        <v>59</v>
      </c>
      <c r="E695" t="s">
        <v>667</v>
      </c>
      <c r="F695" t="s">
        <v>49</v>
      </c>
      <c r="G695" s="91">
        <v>94.978</v>
      </c>
      <c r="H695" s="91"/>
      <c r="I695" s="91">
        <v>42.0000421150161</v>
      </c>
      <c r="J695" s="91">
        <v>3989.08</v>
      </c>
    </row>
    <row r="696" spans="1:10">
      <c r="A696" t="s">
        <v>723</v>
      </c>
      <c r="B696" t="s">
        <v>724</v>
      </c>
      <c r="C696" t="s">
        <v>20</v>
      </c>
      <c r="D696" t="s">
        <v>59</v>
      </c>
      <c r="E696" t="s">
        <v>668</v>
      </c>
      <c r="F696" t="s">
        <v>49</v>
      </c>
      <c r="G696" s="91">
        <v>127.971</v>
      </c>
      <c r="H696" s="91"/>
      <c r="I696" s="91">
        <v>15.0000390713521</v>
      </c>
      <c r="J696" s="91">
        <v>1919.57</v>
      </c>
    </row>
    <row r="697" spans="1:10">
      <c r="A697" t="s">
        <v>723</v>
      </c>
      <c r="B697" t="s">
        <v>724</v>
      </c>
      <c r="C697" t="s">
        <v>20</v>
      </c>
      <c r="D697" t="s">
        <v>59</v>
      </c>
      <c r="E697" t="s">
        <v>60</v>
      </c>
      <c r="F697" t="s">
        <v>49</v>
      </c>
      <c r="G697" s="91">
        <v>56.187</v>
      </c>
      <c r="H697" s="91"/>
      <c r="I697" s="91">
        <v>17.0000177977112</v>
      </c>
      <c r="J697" s="91">
        <v>955.18</v>
      </c>
    </row>
    <row r="698" spans="1:10">
      <c r="A698" t="s">
        <v>723</v>
      </c>
      <c r="B698" t="s">
        <v>724</v>
      </c>
      <c r="C698" t="s">
        <v>20</v>
      </c>
      <c r="D698" t="s">
        <v>106</v>
      </c>
      <c r="E698" t="s">
        <v>672</v>
      </c>
      <c r="F698" t="s">
        <v>108</v>
      </c>
      <c r="G698" s="91">
        <v>101.977</v>
      </c>
      <c r="H698" s="91"/>
      <c r="I698" s="91">
        <v>5000</v>
      </c>
      <c r="J698" s="91">
        <v>509885</v>
      </c>
    </row>
    <row r="699" spans="1:10">
      <c r="A699" t="s">
        <v>725</v>
      </c>
      <c r="B699" t="s">
        <v>726</v>
      </c>
      <c r="C699" t="s">
        <v>11</v>
      </c>
      <c r="D699" t="s">
        <v>634</v>
      </c>
      <c r="E699" t="s">
        <v>640</v>
      </c>
      <c r="F699" t="s">
        <v>23</v>
      </c>
      <c r="G699" s="91">
        <v>111.11</v>
      </c>
      <c r="H699" s="91"/>
      <c r="I699" s="91">
        <v>17</v>
      </c>
      <c r="J699" s="91">
        <v>1888.87</v>
      </c>
    </row>
    <row r="700" spans="1:10">
      <c r="A700" t="s">
        <v>725</v>
      </c>
      <c r="B700" t="s">
        <v>726</v>
      </c>
      <c r="C700" t="s">
        <v>11</v>
      </c>
      <c r="D700" t="s">
        <v>634</v>
      </c>
      <c r="E700" t="s">
        <v>650</v>
      </c>
      <c r="F700" t="s">
        <v>23</v>
      </c>
      <c r="G700" s="91">
        <v>111.11</v>
      </c>
      <c r="H700" s="91"/>
      <c r="I700" s="91">
        <v>18</v>
      </c>
      <c r="J700" s="91">
        <v>1999.98</v>
      </c>
    </row>
    <row r="701" spans="1:10">
      <c r="A701" t="s">
        <v>725</v>
      </c>
      <c r="B701" t="s">
        <v>726</v>
      </c>
      <c r="C701" t="s">
        <v>20</v>
      </c>
      <c r="D701" t="s">
        <v>636</v>
      </c>
      <c r="E701" t="s">
        <v>651</v>
      </c>
      <c r="F701" t="s">
        <v>23</v>
      </c>
      <c r="G701" s="91">
        <v>55.555</v>
      </c>
      <c r="H701" s="91"/>
      <c r="I701" s="91">
        <v>108</v>
      </c>
      <c r="J701" s="91">
        <v>5999.94</v>
      </c>
    </row>
    <row r="702" spans="1:10">
      <c r="A702" t="s">
        <v>727</v>
      </c>
      <c r="B702" t="s">
        <v>728</v>
      </c>
      <c r="C702" t="s">
        <v>11</v>
      </c>
      <c r="D702" t="s">
        <v>665</v>
      </c>
      <c r="E702" t="s">
        <v>666</v>
      </c>
      <c r="F702" t="s">
        <v>34</v>
      </c>
      <c r="G702" s="91">
        <v>17444.927</v>
      </c>
      <c r="H702" s="91"/>
      <c r="I702" s="91">
        <v>33.3100000934369</v>
      </c>
      <c r="J702" s="91">
        <v>581090.52</v>
      </c>
    </row>
    <row r="703" spans="1:10">
      <c r="A703" t="s">
        <v>727</v>
      </c>
      <c r="B703" t="s">
        <v>728</v>
      </c>
      <c r="C703" t="s">
        <v>11</v>
      </c>
      <c r="D703" t="s">
        <v>12</v>
      </c>
      <c r="E703" t="s">
        <v>13</v>
      </c>
      <c r="F703" t="s">
        <v>14</v>
      </c>
      <c r="G703" s="91">
        <v>886.092</v>
      </c>
      <c r="H703" s="91"/>
      <c r="I703" s="91">
        <v>450</v>
      </c>
      <c r="J703" s="91">
        <v>398741.4</v>
      </c>
    </row>
    <row r="704" spans="1:10">
      <c r="A704" t="s">
        <v>727</v>
      </c>
      <c r="B704" t="s">
        <v>728</v>
      </c>
      <c r="C704" t="s">
        <v>11</v>
      </c>
      <c r="D704" t="s">
        <v>12</v>
      </c>
      <c r="E704" t="s">
        <v>15</v>
      </c>
      <c r="F704" t="s">
        <v>14</v>
      </c>
      <c r="G704" s="91">
        <v>138.452</v>
      </c>
      <c r="H704" s="91"/>
      <c r="I704" s="91">
        <v>600</v>
      </c>
      <c r="J704" s="91">
        <v>83071.2</v>
      </c>
    </row>
    <row r="705" spans="1:10">
      <c r="A705" t="s">
        <v>727</v>
      </c>
      <c r="B705" t="s">
        <v>728</v>
      </c>
      <c r="C705" t="s">
        <v>11</v>
      </c>
      <c r="D705" t="s">
        <v>12</v>
      </c>
      <c r="E705" t="s">
        <v>28</v>
      </c>
      <c r="F705" t="s">
        <v>14</v>
      </c>
      <c r="G705" s="91">
        <v>41.536</v>
      </c>
      <c r="H705" s="91"/>
      <c r="I705" s="91">
        <v>600</v>
      </c>
      <c r="J705" s="91">
        <v>24921.6</v>
      </c>
    </row>
    <row r="706" spans="1:10">
      <c r="A706" t="s">
        <v>727</v>
      </c>
      <c r="B706" t="s">
        <v>728</v>
      </c>
      <c r="C706" t="s">
        <v>20</v>
      </c>
      <c r="D706" t="s">
        <v>59</v>
      </c>
      <c r="E706" t="s">
        <v>667</v>
      </c>
      <c r="F706" t="s">
        <v>49</v>
      </c>
      <c r="G706" s="91">
        <v>2630.584</v>
      </c>
      <c r="H706" s="91"/>
      <c r="I706" s="91">
        <v>42.0000007602874</v>
      </c>
      <c r="J706" s="91">
        <v>110484.53</v>
      </c>
    </row>
    <row r="707" spans="1:10">
      <c r="A707" t="s">
        <v>727</v>
      </c>
      <c r="B707" t="s">
        <v>728</v>
      </c>
      <c r="C707" t="s">
        <v>20</v>
      </c>
      <c r="D707" t="s">
        <v>59</v>
      </c>
      <c r="E707" t="s">
        <v>668</v>
      </c>
      <c r="F707" t="s">
        <v>49</v>
      </c>
      <c r="G707" s="91">
        <v>3544.366</v>
      </c>
      <c r="H707" s="91"/>
      <c r="I707" s="91">
        <v>15</v>
      </c>
      <c r="J707" s="91">
        <v>53165.49</v>
      </c>
    </row>
    <row r="708" spans="1:10">
      <c r="A708" t="s">
        <v>727</v>
      </c>
      <c r="B708" t="s">
        <v>728</v>
      </c>
      <c r="C708" t="s">
        <v>20</v>
      </c>
      <c r="D708" t="s">
        <v>59</v>
      </c>
      <c r="E708" t="s">
        <v>60</v>
      </c>
      <c r="F708" t="s">
        <v>49</v>
      </c>
      <c r="G708" s="91">
        <v>1556.198</v>
      </c>
      <c r="H708" s="91"/>
      <c r="I708" s="91">
        <v>17.000002570367</v>
      </c>
      <c r="J708" s="91">
        <v>26455.37</v>
      </c>
    </row>
    <row r="709" spans="1:10">
      <c r="A709" t="s">
        <v>727</v>
      </c>
      <c r="B709" t="s">
        <v>728</v>
      </c>
      <c r="C709" t="s">
        <v>20</v>
      </c>
      <c r="D709" t="s">
        <v>106</v>
      </c>
      <c r="E709" t="s">
        <v>675</v>
      </c>
      <c r="F709" t="s">
        <v>108</v>
      </c>
      <c r="G709" s="91">
        <v>2824.417</v>
      </c>
      <c r="H709" s="91"/>
      <c r="I709" s="91">
        <v>5450</v>
      </c>
      <c r="J709" s="91">
        <v>15393072.65</v>
      </c>
    </row>
    <row r="710" spans="1:10">
      <c r="A710" t="s">
        <v>729</v>
      </c>
      <c r="B710" t="s">
        <v>730</v>
      </c>
      <c r="C710" t="s">
        <v>11</v>
      </c>
      <c r="D710" t="s">
        <v>634</v>
      </c>
      <c r="E710" t="s">
        <v>635</v>
      </c>
      <c r="F710" t="s">
        <v>23</v>
      </c>
      <c r="G710" s="91">
        <v>111.11</v>
      </c>
      <c r="H710" s="91"/>
      <c r="I710" s="91">
        <v>16</v>
      </c>
      <c r="J710" s="91">
        <v>1777.76</v>
      </c>
    </row>
    <row r="711" spans="1:10">
      <c r="A711" t="s">
        <v>729</v>
      </c>
      <c r="B711" t="s">
        <v>730</v>
      </c>
      <c r="C711" t="s">
        <v>11</v>
      </c>
      <c r="D711" t="s">
        <v>634</v>
      </c>
      <c r="E711" t="s">
        <v>650</v>
      </c>
      <c r="F711" t="s">
        <v>23</v>
      </c>
      <c r="G711" s="91">
        <v>111.11</v>
      </c>
      <c r="H711" s="91"/>
      <c r="I711" s="91">
        <v>18</v>
      </c>
      <c r="J711" s="91">
        <v>1999.98</v>
      </c>
    </row>
    <row r="712" spans="1:10">
      <c r="A712" t="s">
        <v>729</v>
      </c>
      <c r="B712" t="s">
        <v>730</v>
      </c>
      <c r="C712" t="s">
        <v>20</v>
      </c>
      <c r="D712" t="s">
        <v>636</v>
      </c>
      <c r="E712" t="s">
        <v>654</v>
      </c>
      <c r="F712" t="s">
        <v>23</v>
      </c>
      <c r="G712" s="91">
        <v>55.555</v>
      </c>
      <c r="H712" s="91"/>
      <c r="I712" s="91">
        <v>109.0000900009</v>
      </c>
      <c r="J712" s="91">
        <v>6055.5</v>
      </c>
    </row>
    <row r="713" spans="1:10">
      <c r="A713" t="s">
        <v>731</v>
      </c>
      <c r="B713" t="s">
        <v>732</v>
      </c>
      <c r="C713" t="s">
        <v>11</v>
      </c>
      <c r="D713" t="s">
        <v>12</v>
      </c>
      <c r="E713" t="s">
        <v>13</v>
      </c>
      <c r="F713" t="s">
        <v>14</v>
      </c>
      <c r="G713" s="91">
        <v>11.744</v>
      </c>
      <c r="H713" s="91"/>
      <c r="I713" s="91">
        <v>450</v>
      </c>
      <c r="J713" s="91">
        <v>5284.8</v>
      </c>
    </row>
    <row r="714" spans="1:10">
      <c r="A714" t="s">
        <v>731</v>
      </c>
      <c r="B714" t="s">
        <v>732</v>
      </c>
      <c r="C714" t="s">
        <v>11</v>
      </c>
      <c r="D714" t="s">
        <v>12</v>
      </c>
      <c r="E714" t="s">
        <v>15</v>
      </c>
      <c r="F714" t="s">
        <v>14</v>
      </c>
      <c r="G714" s="91">
        <v>1.835</v>
      </c>
      <c r="H714" s="91"/>
      <c r="I714" s="91">
        <v>600</v>
      </c>
      <c r="J714" s="91">
        <v>1101</v>
      </c>
    </row>
    <row r="715" spans="1:10">
      <c r="A715" t="s">
        <v>731</v>
      </c>
      <c r="B715" t="s">
        <v>732</v>
      </c>
      <c r="C715" t="s">
        <v>11</v>
      </c>
      <c r="D715" t="s">
        <v>12</v>
      </c>
      <c r="E715" t="s">
        <v>28</v>
      </c>
      <c r="F715" t="s">
        <v>14</v>
      </c>
      <c r="G715" s="91">
        <v>0.551</v>
      </c>
      <c r="H715" s="91"/>
      <c r="I715" s="91">
        <v>600</v>
      </c>
      <c r="J715" s="91">
        <v>330.6</v>
      </c>
    </row>
    <row r="716" spans="1:10">
      <c r="A716" t="s">
        <v>731</v>
      </c>
      <c r="B716" t="s">
        <v>732</v>
      </c>
      <c r="C716" t="s">
        <v>20</v>
      </c>
      <c r="D716" t="s">
        <v>59</v>
      </c>
      <c r="E716" t="s">
        <v>667</v>
      </c>
      <c r="F716" t="s">
        <v>49</v>
      </c>
      <c r="G716" s="91">
        <v>34.866</v>
      </c>
      <c r="H716" s="91"/>
      <c r="I716" s="91">
        <v>41.9999426375265</v>
      </c>
      <c r="J716" s="91">
        <v>1464.37</v>
      </c>
    </row>
    <row r="717" spans="1:10">
      <c r="A717" t="s">
        <v>731</v>
      </c>
      <c r="B717" t="s">
        <v>732</v>
      </c>
      <c r="C717" t="s">
        <v>20</v>
      </c>
      <c r="D717" t="s">
        <v>59</v>
      </c>
      <c r="E717" t="s">
        <v>668</v>
      </c>
      <c r="F717" t="s">
        <v>49</v>
      </c>
      <c r="G717" s="91">
        <v>46.977</v>
      </c>
      <c r="H717" s="91"/>
      <c r="I717" s="91">
        <v>15.000106435064</v>
      </c>
      <c r="J717" s="91">
        <v>704.66</v>
      </c>
    </row>
    <row r="718" spans="1:10">
      <c r="A718" t="s">
        <v>731</v>
      </c>
      <c r="B718" t="s">
        <v>732</v>
      </c>
      <c r="C718" t="s">
        <v>20</v>
      </c>
      <c r="D718" t="s">
        <v>59</v>
      </c>
      <c r="E718" t="s">
        <v>60</v>
      </c>
      <c r="F718" t="s">
        <v>49</v>
      </c>
      <c r="G718" s="91">
        <v>20.626</v>
      </c>
      <c r="H718" s="91"/>
      <c r="I718" s="91">
        <v>16.9999030350044</v>
      </c>
      <c r="J718" s="91">
        <v>350.64</v>
      </c>
    </row>
    <row r="719" spans="1:10">
      <c r="A719" t="s">
        <v>731</v>
      </c>
      <c r="B719" t="s">
        <v>732</v>
      </c>
      <c r="C719" t="s">
        <v>20</v>
      </c>
      <c r="D719" t="s">
        <v>106</v>
      </c>
      <c r="E719" t="s">
        <v>678</v>
      </c>
      <c r="F719" t="s">
        <v>108</v>
      </c>
      <c r="G719" s="91">
        <v>37.435</v>
      </c>
      <c r="H719" s="91"/>
      <c r="I719" s="91">
        <v>6000</v>
      </c>
      <c r="J719" s="91">
        <v>224610</v>
      </c>
    </row>
    <row r="720" spans="1:10">
      <c r="A720" t="s">
        <v>733</v>
      </c>
      <c r="B720" t="s">
        <v>734</v>
      </c>
      <c r="C720" t="s">
        <v>11</v>
      </c>
      <c r="D720" t="s">
        <v>657</v>
      </c>
      <c r="E720" t="s">
        <v>658</v>
      </c>
      <c r="F720" t="s">
        <v>34</v>
      </c>
      <c r="G720" s="91">
        <v>598.645</v>
      </c>
      <c r="H720" s="91"/>
      <c r="I720" s="91">
        <v>45.0000083521954</v>
      </c>
      <c r="J720" s="91">
        <v>26939.03</v>
      </c>
    </row>
    <row r="721" spans="1:10">
      <c r="A721" t="s">
        <v>735</v>
      </c>
      <c r="B721" t="s">
        <v>736</v>
      </c>
      <c r="C721" t="s">
        <v>20</v>
      </c>
      <c r="D721" t="s">
        <v>102</v>
      </c>
      <c r="E721" t="s">
        <v>103</v>
      </c>
      <c r="F721" t="s">
        <v>46</v>
      </c>
      <c r="G721" s="91">
        <v>33.313</v>
      </c>
      <c r="H721" s="91"/>
      <c r="I721" s="91">
        <v>800</v>
      </c>
      <c r="J721" s="91">
        <v>26650.4</v>
      </c>
    </row>
    <row r="722" spans="1:10">
      <c r="A722" t="s">
        <v>735</v>
      </c>
      <c r="B722" t="s">
        <v>736</v>
      </c>
      <c r="C722" t="s">
        <v>20</v>
      </c>
      <c r="D722" t="s">
        <v>596</v>
      </c>
      <c r="E722" t="s">
        <v>597</v>
      </c>
      <c r="F722" t="s">
        <v>46</v>
      </c>
      <c r="G722" s="91">
        <v>173.158</v>
      </c>
      <c r="H722" s="91"/>
      <c r="I722" s="91">
        <v>2200</v>
      </c>
      <c r="J722" s="91">
        <v>380947.6</v>
      </c>
    </row>
    <row r="723" spans="1:10">
      <c r="A723" t="s">
        <v>735</v>
      </c>
      <c r="B723" t="s">
        <v>736</v>
      </c>
      <c r="C723" t="s">
        <v>11</v>
      </c>
      <c r="D723" t="s">
        <v>598</v>
      </c>
      <c r="E723" t="s">
        <v>599</v>
      </c>
      <c r="F723" t="s">
        <v>34</v>
      </c>
      <c r="G723" s="91">
        <v>1854.209</v>
      </c>
      <c r="H723" s="91"/>
      <c r="I723" s="91">
        <v>86.1100016233337</v>
      </c>
      <c r="J723" s="91">
        <v>159665.94</v>
      </c>
    </row>
    <row r="724" spans="1:10">
      <c r="A724" t="s">
        <v>735</v>
      </c>
      <c r="B724" t="s">
        <v>736</v>
      </c>
      <c r="C724" t="s">
        <v>20</v>
      </c>
      <c r="D724" t="s">
        <v>600</v>
      </c>
      <c r="E724" t="s">
        <v>601</v>
      </c>
      <c r="F724" t="s">
        <v>63</v>
      </c>
      <c r="G724" s="91">
        <v>9271.043</v>
      </c>
      <c r="H724" s="91"/>
      <c r="I724" s="91">
        <v>0.0799996289522117</v>
      </c>
      <c r="J724" s="91">
        <v>741.68</v>
      </c>
    </row>
    <row r="725" spans="1:10">
      <c r="A725" t="s">
        <v>737</v>
      </c>
      <c r="B725" t="s">
        <v>738</v>
      </c>
      <c r="C725" t="s">
        <v>11</v>
      </c>
      <c r="D725" t="s">
        <v>24</v>
      </c>
      <c r="E725" t="s">
        <v>604</v>
      </c>
      <c r="F725" t="s">
        <v>34</v>
      </c>
      <c r="G725" s="91">
        <v>17031.767</v>
      </c>
      <c r="H725" s="91"/>
      <c r="I725" s="91">
        <v>50</v>
      </c>
      <c r="J725" s="91">
        <v>851588.35</v>
      </c>
    </row>
    <row r="726" spans="1:10">
      <c r="A726" t="s">
        <v>737</v>
      </c>
      <c r="B726" t="s">
        <v>738</v>
      </c>
      <c r="C726" t="s">
        <v>11</v>
      </c>
      <c r="D726" t="s">
        <v>24</v>
      </c>
      <c r="E726" t="s">
        <v>605</v>
      </c>
      <c r="F726" t="s">
        <v>34</v>
      </c>
      <c r="G726" s="91">
        <v>3479.59</v>
      </c>
      <c r="H726" s="91"/>
      <c r="I726" s="91">
        <v>80</v>
      </c>
      <c r="J726" s="91">
        <v>278367.2</v>
      </c>
    </row>
    <row r="727" spans="1:10">
      <c r="A727" t="s">
        <v>737</v>
      </c>
      <c r="B727" t="s">
        <v>738</v>
      </c>
      <c r="C727" t="s">
        <v>11</v>
      </c>
      <c r="D727" t="s">
        <v>24</v>
      </c>
      <c r="E727" t="s">
        <v>606</v>
      </c>
      <c r="F727" t="s">
        <v>34</v>
      </c>
      <c r="G727" s="91">
        <v>17031.767</v>
      </c>
      <c r="H727" s="91"/>
      <c r="I727" s="91">
        <v>271.999999765145</v>
      </c>
      <c r="J727" s="91">
        <v>4632640.62</v>
      </c>
    </row>
    <row r="728" spans="1:10">
      <c r="A728" t="s">
        <v>737</v>
      </c>
      <c r="B728" t="s">
        <v>738</v>
      </c>
      <c r="C728" t="s">
        <v>20</v>
      </c>
      <c r="D728" t="s">
        <v>47</v>
      </c>
      <c r="E728" t="s">
        <v>50</v>
      </c>
      <c r="F728" t="s">
        <v>49</v>
      </c>
      <c r="G728" s="91">
        <v>510.953</v>
      </c>
      <c r="H728" s="91"/>
      <c r="I728" s="91">
        <v>60</v>
      </c>
      <c r="J728" s="91">
        <v>30657.18</v>
      </c>
    </row>
    <row r="729" spans="1:10">
      <c r="A729" t="s">
        <v>737</v>
      </c>
      <c r="B729" t="s">
        <v>738</v>
      </c>
      <c r="C729" t="s">
        <v>20</v>
      </c>
      <c r="D729" t="s">
        <v>61</v>
      </c>
      <c r="E729" t="s">
        <v>78</v>
      </c>
      <c r="F729" t="s">
        <v>49</v>
      </c>
      <c r="G729" s="91">
        <v>476.777</v>
      </c>
      <c r="H729" s="91"/>
      <c r="I729" s="91">
        <v>95.0000104870831</v>
      </c>
      <c r="J729" s="91">
        <v>45293.82</v>
      </c>
    </row>
    <row r="730" spans="1:10">
      <c r="A730" t="s">
        <v>737</v>
      </c>
      <c r="B730" t="s">
        <v>738</v>
      </c>
      <c r="C730" t="s">
        <v>20</v>
      </c>
      <c r="D730" t="s">
        <v>61</v>
      </c>
      <c r="E730" t="s">
        <v>607</v>
      </c>
      <c r="F730" t="s">
        <v>23</v>
      </c>
      <c r="G730" s="91">
        <v>190.711</v>
      </c>
      <c r="H730" s="91"/>
      <c r="I730" s="91">
        <v>115.200014681901</v>
      </c>
      <c r="J730" s="91">
        <v>21969.91</v>
      </c>
    </row>
    <row r="731" spans="1:10">
      <c r="A731" t="s">
        <v>737</v>
      </c>
      <c r="B731" t="s">
        <v>738</v>
      </c>
      <c r="C731" t="s">
        <v>20</v>
      </c>
      <c r="D731" t="s">
        <v>84</v>
      </c>
      <c r="E731" t="s">
        <v>86</v>
      </c>
      <c r="F731" t="s">
        <v>49</v>
      </c>
      <c r="G731" s="91">
        <v>340.635</v>
      </c>
      <c r="H731" s="91"/>
      <c r="I731" s="91">
        <v>60</v>
      </c>
      <c r="J731" s="91">
        <v>20438.1</v>
      </c>
    </row>
    <row r="732" spans="1:10">
      <c r="A732" t="s">
        <v>737</v>
      </c>
      <c r="B732" t="s">
        <v>738</v>
      </c>
      <c r="C732" t="s">
        <v>20</v>
      </c>
      <c r="D732" t="s">
        <v>84</v>
      </c>
      <c r="E732" t="s">
        <v>88</v>
      </c>
      <c r="F732" t="s">
        <v>49</v>
      </c>
      <c r="G732" s="91">
        <v>681.271</v>
      </c>
      <c r="H732" s="91"/>
      <c r="I732" s="91">
        <v>60</v>
      </c>
      <c r="J732" s="91">
        <v>40876.26</v>
      </c>
    </row>
    <row r="733" spans="1:10">
      <c r="A733" t="s">
        <v>737</v>
      </c>
      <c r="B733" t="s">
        <v>738</v>
      </c>
      <c r="C733" t="s">
        <v>20</v>
      </c>
      <c r="D733" t="s">
        <v>84</v>
      </c>
      <c r="E733" t="s">
        <v>89</v>
      </c>
      <c r="F733" t="s">
        <v>49</v>
      </c>
      <c r="G733" s="91">
        <v>681.271</v>
      </c>
      <c r="H733" s="91"/>
      <c r="I733" s="91">
        <v>60</v>
      </c>
      <c r="J733" s="91">
        <v>40876.26</v>
      </c>
    </row>
    <row r="734" spans="1:10">
      <c r="A734" t="s">
        <v>737</v>
      </c>
      <c r="B734" t="s">
        <v>738</v>
      </c>
      <c r="C734" t="s">
        <v>20</v>
      </c>
      <c r="D734" t="s">
        <v>84</v>
      </c>
      <c r="E734" t="s">
        <v>608</v>
      </c>
      <c r="F734" t="s">
        <v>100</v>
      </c>
      <c r="G734" s="91">
        <v>22907.727</v>
      </c>
      <c r="H734" s="91"/>
      <c r="I734" s="91">
        <v>67.0000000436534</v>
      </c>
      <c r="J734" s="91">
        <v>1534817.71</v>
      </c>
    </row>
    <row r="735" spans="1:10">
      <c r="A735" t="s">
        <v>737</v>
      </c>
      <c r="B735" t="s">
        <v>738</v>
      </c>
      <c r="C735" t="s">
        <v>20</v>
      </c>
      <c r="D735" t="s">
        <v>84</v>
      </c>
      <c r="E735" t="s">
        <v>609</v>
      </c>
      <c r="F735" t="s">
        <v>63</v>
      </c>
      <c r="G735" s="91">
        <v>681.271</v>
      </c>
      <c r="H735" s="91"/>
      <c r="I735" s="91">
        <v>135.000007339223</v>
      </c>
      <c r="J735" s="91">
        <v>91971.59</v>
      </c>
    </row>
    <row r="736" spans="1:10">
      <c r="A736" t="s">
        <v>737</v>
      </c>
      <c r="B736" t="s">
        <v>738</v>
      </c>
      <c r="C736" t="s">
        <v>20</v>
      </c>
      <c r="D736" t="s">
        <v>84</v>
      </c>
      <c r="E736" t="s">
        <v>610</v>
      </c>
      <c r="F736" t="s">
        <v>611</v>
      </c>
      <c r="G736" s="91">
        <v>1566.923</v>
      </c>
      <c r="H736" s="91"/>
      <c r="I736" s="91">
        <v>395.000003190967</v>
      </c>
      <c r="J736" s="91">
        <v>618934.59</v>
      </c>
    </row>
    <row r="737" spans="1:10">
      <c r="A737" t="s">
        <v>737</v>
      </c>
      <c r="B737" t="s">
        <v>738</v>
      </c>
      <c r="C737" t="s">
        <v>20</v>
      </c>
      <c r="D737" t="s">
        <v>84</v>
      </c>
      <c r="E737" t="s">
        <v>612</v>
      </c>
      <c r="F737" t="s">
        <v>611</v>
      </c>
      <c r="G737" s="91">
        <v>1226.287</v>
      </c>
      <c r="H737" s="91"/>
      <c r="I737" s="91">
        <v>295.000004077349</v>
      </c>
      <c r="J737" s="91">
        <v>361754.67</v>
      </c>
    </row>
    <row r="738" spans="1:10">
      <c r="A738" t="s">
        <v>737</v>
      </c>
      <c r="B738" t="s">
        <v>738</v>
      </c>
      <c r="C738" t="s">
        <v>11</v>
      </c>
      <c r="D738" t="s">
        <v>613</v>
      </c>
      <c r="E738" t="s">
        <v>614</v>
      </c>
      <c r="F738" t="s">
        <v>108</v>
      </c>
      <c r="G738" s="91">
        <v>1771.304</v>
      </c>
      <c r="H738" s="91"/>
      <c r="I738" s="91">
        <v>40</v>
      </c>
      <c r="J738" s="91">
        <v>70852.16</v>
      </c>
    </row>
    <row r="739" spans="1:10">
      <c r="A739" t="s">
        <v>737</v>
      </c>
      <c r="B739" t="s">
        <v>738</v>
      </c>
      <c r="C739" t="s">
        <v>11</v>
      </c>
      <c r="D739" t="s">
        <v>613</v>
      </c>
      <c r="E739" t="s">
        <v>615</v>
      </c>
      <c r="F739" t="s">
        <v>108</v>
      </c>
      <c r="G739" s="91">
        <v>1771.304</v>
      </c>
      <c r="H739" s="91"/>
      <c r="I739" s="91">
        <v>30</v>
      </c>
      <c r="J739" s="91">
        <v>53139.12</v>
      </c>
    </row>
    <row r="740" spans="1:10">
      <c r="A740" t="s">
        <v>739</v>
      </c>
      <c r="B740" t="s">
        <v>740</v>
      </c>
      <c r="C740" t="s">
        <v>11</v>
      </c>
      <c r="D740" t="s">
        <v>618</v>
      </c>
      <c r="E740" t="s">
        <v>619</v>
      </c>
      <c r="F740" t="s">
        <v>23</v>
      </c>
      <c r="G740" s="91">
        <v>7.7</v>
      </c>
      <c r="H740" s="91"/>
      <c r="I740" s="91">
        <v>4750</v>
      </c>
      <c r="J740" s="91">
        <v>36575</v>
      </c>
    </row>
    <row r="741" spans="1:10">
      <c r="A741" t="s">
        <v>739</v>
      </c>
      <c r="B741" t="s">
        <v>740</v>
      </c>
      <c r="C741" t="s">
        <v>11</v>
      </c>
      <c r="D741" t="s">
        <v>618</v>
      </c>
      <c r="E741" t="s">
        <v>620</v>
      </c>
      <c r="F741" t="s">
        <v>23</v>
      </c>
      <c r="G741" s="91">
        <v>1.1</v>
      </c>
      <c r="H741" s="91"/>
      <c r="I741" s="91">
        <v>2375</v>
      </c>
      <c r="J741" s="91">
        <v>2612.5</v>
      </c>
    </row>
    <row r="742" spans="1:10">
      <c r="A742" t="s">
        <v>739</v>
      </c>
      <c r="B742" t="s">
        <v>740</v>
      </c>
      <c r="C742" t="s">
        <v>11</v>
      </c>
      <c r="D742" t="s">
        <v>618</v>
      </c>
      <c r="E742" t="s">
        <v>621</v>
      </c>
      <c r="F742" t="s">
        <v>23</v>
      </c>
      <c r="G742" s="91">
        <v>0.184</v>
      </c>
      <c r="H742" s="91"/>
      <c r="I742" s="91">
        <v>3000</v>
      </c>
      <c r="J742" s="91">
        <v>552</v>
      </c>
    </row>
    <row r="743" spans="1:10">
      <c r="A743" t="s">
        <v>741</v>
      </c>
      <c r="B743" t="s">
        <v>742</v>
      </c>
      <c r="C743" t="s">
        <v>20</v>
      </c>
      <c r="D743" t="s">
        <v>47</v>
      </c>
      <c r="E743" t="s">
        <v>48</v>
      </c>
      <c r="F743" t="s">
        <v>49</v>
      </c>
      <c r="G743" s="91">
        <v>2987.328</v>
      </c>
      <c r="H743" s="91"/>
      <c r="I743" s="91">
        <v>75</v>
      </c>
      <c r="J743" s="91">
        <v>224049.6</v>
      </c>
    </row>
    <row r="744" spans="1:10">
      <c r="A744" t="s">
        <v>741</v>
      </c>
      <c r="B744" t="s">
        <v>742</v>
      </c>
      <c r="C744" t="s">
        <v>20</v>
      </c>
      <c r="D744" t="s">
        <v>624</v>
      </c>
      <c r="E744" t="s">
        <v>625</v>
      </c>
      <c r="F744" t="s">
        <v>23</v>
      </c>
      <c r="G744" s="91">
        <v>7468.32</v>
      </c>
      <c r="H744" s="91"/>
      <c r="I744" s="91">
        <v>0.80000053559569</v>
      </c>
      <c r="J744" s="91">
        <v>5974.66</v>
      </c>
    </row>
    <row r="745" spans="1:10">
      <c r="A745" t="s">
        <v>741</v>
      </c>
      <c r="B745" t="s">
        <v>742</v>
      </c>
      <c r="C745" t="s">
        <v>20</v>
      </c>
      <c r="D745" t="s">
        <v>624</v>
      </c>
      <c r="E745" t="s">
        <v>626</v>
      </c>
      <c r="F745" t="s">
        <v>23</v>
      </c>
      <c r="G745" s="91">
        <v>7468.32</v>
      </c>
      <c r="H745" s="91"/>
      <c r="I745" s="91">
        <v>0.900000267797845</v>
      </c>
      <c r="J745" s="91">
        <v>6721.49</v>
      </c>
    </row>
    <row r="746" spans="1:10">
      <c r="A746" t="s">
        <v>741</v>
      </c>
      <c r="B746" t="s">
        <v>742</v>
      </c>
      <c r="C746" t="s">
        <v>20</v>
      </c>
      <c r="D746" t="s">
        <v>624</v>
      </c>
      <c r="E746" t="s">
        <v>627</v>
      </c>
      <c r="F746" t="s">
        <v>23</v>
      </c>
      <c r="G746" s="91">
        <v>7468.32</v>
      </c>
      <c r="H746" s="91"/>
      <c r="I746" s="91">
        <v>3.09999973220216</v>
      </c>
      <c r="J746" s="91">
        <v>23151.79</v>
      </c>
    </row>
    <row r="747" spans="1:10">
      <c r="A747" t="s">
        <v>741</v>
      </c>
      <c r="B747" t="s">
        <v>742</v>
      </c>
      <c r="C747" t="s">
        <v>20</v>
      </c>
      <c r="D747" t="s">
        <v>624</v>
      </c>
      <c r="E747" t="s">
        <v>628</v>
      </c>
      <c r="F747" t="s">
        <v>23</v>
      </c>
      <c r="G747" s="91">
        <v>9335.4</v>
      </c>
      <c r="H747" s="91"/>
      <c r="I747" s="91">
        <v>3.1</v>
      </c>
      <c r="J747" s="91">
        <v>28939.74</v>
      </c>
    </row>
    <row r="748" spans="1:10">
      <c r="A748" t="s">
        <v>741</v>
      </c>
      <c r="B748" t="s">
        <v>742</v>
      </c>
      <c r="C748" t="s">
        <v>20</v>
      </c>
      <c r="D748" t="s">
        <v>624</v>
      </c>
      <c r="E748" t="s">
        <v>629</v>
      </c>
      <c r="F748" t="s">
        <v>23</v>
      </c>
      <c r="G748" s="91">
        <v>3734.16</v>
      </c>
      <c r="H748" s="91"/>
      <c r="I748" s="91">
        <v>6.5</v>
      </c>
      <c r="J748" s="91">
        <v>24272.04</v>
      </c>
    </row>
    <row r="749" spans="1:10">
      <c r="A749" t="s">
        <v>741</v>
      </c>
      <c r="B749" t="s">
        <v>742</v>
      </c>
      <c r="C749" t="s">
        <v>11</v>
      </c>
      <c r="D749" t="s">
        <v>630</v>
      </c>
      <c r="E749" t="s">
        <v>631</v>
      </c>
      <c r="F749" t="s">
        <v>17</v>
      </c>
      <c r="G749" s="91">
        <v>248.944</v>
      </c>
      <c r="H749" s="91"/>
      <c r="I749" s="91">
        <v>9380</v>
      </c>
      <c r="J749" s="91">
        <v>2335094.72</v>
      </c>
    </row>
    <row r="750" spans="1:10">
      <c r="A750" t="s">
        <v>743</v>
      </c>
      <c r="B750" t="s">
        <v>744</v>
      </c>
      <c r="C750" t="s">
        <v>11</v>
      </c>
      <c r="D750" t="s">
        <v>634</v>
      </c>
      <c r="E750" t="s">
        <v>635</v>
      </c>
      <c r="F750" t="s">
        <v>23</v>
      </c>
      <c r="G750" s="91">
        <v>4097.868</v>
      </c>
      <c r="H750" s="91"/>
      <c r="I750" s="91">
        <v>16.0000004880587</v>
      </c>
      <c r="J750" s="91">
        <v>65565.89</v>
      </c>
    </row>
    <row r="751" spans="1:10">
      <c r="A751" t="s">
        <v>743</v>
      </c>
      <c r="B751" t="s">
        <v>744</v>
      </c>
      <c r="C751" t="s">
        <v>20</v>
      </c>
      <c r="D751" t="s">
        <v>636</v>
      </c>
      <c r="E751" t="s">
        <v>637</v>
      </c>
      <c r="F751" t="s">
        <v>23</v>
      </c>
      <c r="G751" s="91">
        <v>2048.934</v>
      </c>
      <c r="H751" s="91"/>
      <c r="I751" s="91">
        <v>40</v>
      </c>
      <c r="J751" s="91">
        <v>81957.36</v>
      </c>
    </row>
    <row r="752" spans="1:10">
      <c r="A752" t="s">
        <v>745</v>
      </c>
      <c r="B752" t="s">
        <v>746</v>
      </c>
      <c r="C752" t="s">
        <v>11</v>
      </c>
      <c r="D752" t="s">
        <v>634</v>
      </c>
      <c r="E752" t="s">
        <v>640</v>
      </c>
      <c r="F752" t="s">
        <v>23</v>
      </c>
      <c r="G752" s="91">
        <v>2048.934</v>
      </c>
      <c r="H752" s="91"/>
      <c r="I752" s="91">
        <v>17.0000009761173</v>
      </c>
      <c r="J752" s="91">
        <v>34831.88</v>
      </c>
    </row>
    <row r="753" spans="1:10">
      <c r="A753" t="s">
        <v>745</v>
      </c>
      <c r="B753" t="s">
        <v>746</v>
      </c>
      <c r="C753" t="s">
        <v>20</v>
      </c>
      <c r="D753" t="s">
        <v>636</v>
      </c>
      <c r="E753" t="s">
        <v>641</v>
      </c>
      <c r="F753" t="s">
        <v>23</v>
      </c>
      <c r="G753" s="91">
        <v>1024.467</v>
      </c>
      <c r="H753" s="91"/>
      <c r="I753" s="91">
        <v>58.999997071648</v>
      </c>
      <c r="J753" s="91">
        <v>60443.55</v>
      </c>
    </row>
    <row r="754" spans="1:10">
      <c r="A754" t="s">
        <v>747</v>
      </c>
      <c r="B754" t="s">
        <v>748</v>
      </c>
      <c r="C754" t="s">
        <v>11</v>
      </c>
      <c r="D754" t="s">
        <v>634</v>
      </c>
      <c r="E754" t="s">
        <v>650</v>
      </c>
      <c r="F754" t="s">
        <v>23</v>
      </c>
      <c r="G754" s="91">
        <v>819.628</v>
      </c>
      <c r="H754" s="91"/>
      <c r="I754" s="91">
        <v>17.9999951197372</v>
      </c>
      <c r="J754" s="91">
        <v>14753.3</v>
      </c>
    </row>
    <row r="755" spans="1:10">
      <c r="A755" t="s">
        <v>747</v>
      </c>
      <c r="B755" t="s">
        <v>748</v>
      </c>
      <c r="C755" t="s">
        <v>20</v>
      </c>
      <c r="D755" t="s">
        <v>636</v>
      </c>
      <c r="E755" t="s">
        <v>644</v>
      </c>
      <c r="F755" t="s">
        <v>23</v>
      </c>
      <c r="G755" s="91">
        <v>409.814</v>
      </c>
      <c r="H755" s="91"/>
      <c r="I755" s="91">
        <v>102.999995119737</v>
      </c>
      <c r="J755" s="91">
        <v>42210.84</v>
      </c>
    </row>
    <row r="756" spans="1:10">
      <c r="A756" t="s">
        <v>749</v>
      </c>
      <c r="B756" t="s">
        <v>750</v>
      </c>
      <c r="C756" t="s">
        <v>11</v>
      </c>
      <c r="D756" t="s">
        <v>634</v>
      </c>
      <c r="E756" t="s">
        <v>635</v>
      </c>
      <c r="F756" t="s">
        <v>23</v>
      </c>
      <c r="G756" s="91">
        <v>409.95</v>
      </c>
      <c r="H756" s="91"/>
      <c r="I756" s="91">
        <v>16</v>
      </c>
      <c r="J756" s="91">
        <v>6559.2</v>
      </c>
    </row>
    <row r="757" spans="1:10">
      <c r="A757" t="s">
        <v>749</v>
      </c>
      <c r="B757" t="s">
        <v>750</v>
      </c>
      <c r="C757" t="s">
        <v>11</v>
      </c>
      <c r="D757" t="s">
        <v>634</v>
      </c>
      <c r="E757" t="s">
        <v>640</v>
      </c>
      <c r="F757" t="s">
        <v>23</v>
      </c>
      <c r="G757" s="91">
        <v>409.95</v>
      </c>
      <c r="H757" s="91"/>
      <c r="I757" s="91">
        <v>17</v>
      </c>
      <c r="J757" s="91">
        <v>6969.15</v>
      </c>
    </row>
    <row r="758" spans="1:10">
      <c r="A758" t="s">
        <v>749</v>
      </c>
      <c r="B758" t="s">
        <v>750</v>
      </c>
      <c r="C758" t="s">
        <v>20</v>
      </c>
      <c r="D758" t="s">
        <v>636</v>
      </c>
      <c r="E758" t="s">
        <v>647</v>
      </c>
      <c r="F758" t="s">
        <v>23</v>
      </c>
      <c r="G758" s="91">
        <v>204.975</v>
      </c>
      <c r="H758" s="91"/>
      <c r="I758" s="91">
        <v>63.0000243932187</v>
      </c>
      <c r="J758" s="91">
        <v>12913.43</v>
      </c>
    </row>
    <row r="759" spans="1:10">
      <c r="A759" t="s">
        <v>751</v>
      </c>
      <c r="B759" t="s">
        <v>752</v>
      </c>
      <c r="C759" t="s">
        <v>11</v>
      </c>
      <c r="D759" t="s">
        <v>634</v>
      </c>
      <c r="E759" t="s">
        <v>640</v>
      </c>
      <c r="F759" t="s">
        <v>23</v>
      </c>
      <c r="G759" s="91">
        <v>409.95</v>
      </c>
      <c r="H759" s="91"/>
      <c r="I759" s="91">
        <v>17</v>
      </c>
      <c r="J759" s="91">
        <v>6969.15</v>
      </c>
    </row>
    <row r="760" spans="1:10">
      <c r="A760" t="s">
        <v>751</v>
      </c>
      <c r="B760" t="s">
        <v>752</v>
      </c>
      <c r="C760" t="s">
        <v>11</v>
      </c>
      <c r="D760" t="s">
        <v>634</v>
      </c>
      <c r="E760" t="s">
        <v>650</v>
      </c>
      <c r="F760" t="s">
        <v>23</v>
      </c>
      <c r="G760" s="91">
        <v>409.95</v>
      </c>
      <c r="H760" s="91"/>
      <c r="I760" s="91">
        <v>18</v>
      </c>
      <c r="J760" s="91">
        <v>7379.1</v>
      </c>
    </row>
    <row r="761" spans="1:10">
      <c r="A761" t="s">
        <v>751</v>
      </c>
      <c r="B761" t="s">
        <v>752</v>
      </c>
      <c r="C761" t="s">
        <v>20</v>
      </c>
      <c r="D761" t="s">
        <v>636</v>
      </c>
      <c r="E761" t="s">
        <v>651</v>
      </c>
      <c r="F761" t="s">
        <v>23</v>
      </c>
      <c r="G761" s="91">
        <v>204.975</v>
      </c>
      <c r="H761" s="91"/>
      <c r="I761" s="91">
        <v>108</v>
      </c>
      <c r="J761" s="91">
        <v>22137.3</v>
      </c>
    </row>
    <row r="762" spans="1:10">
      <c r="A762" t="s">
        <v>753</v>
      </c>
      <c r="B762" t="s">
        <v>754</v>
      </c>
      <c r="C762" t="s">
        <v>11</v>
      </c>
      <c r="D762" t="s">
        <v>634</v>
      </c>
      <c r="E762" t="s">
        <v>635</v>
      </c>
      <c r="F762" t="s">
        <v>23</v>
      </c>
      <c r="G762" s="91">
        <v>409.95</v>
      </c>
      <c r="H762" s="91"/>
      <c r="I762" s="91">
        <v>16</v>
      </c>
      <c r="J762" s="91">
        <v>6559.2</v>
      </c>
    </row>
    <row r="763" spans="1:10">
      <c r="A763" t="s">
        <v>753</v>
      </c>
      <c r="B763" t="s">
        <v>754</v>
      </c>
      <c r="C763" t="s">
        <v>11</v>
      </c>
      <c r="D763" t="s">
        <v>634</v>
      </c>
      <c r="E763" t="s">
        <v>650</v>
      </c>
      <c r="F763" t="s">
        <v>23</v>
      </c>
      <c r="G763" s="91">
        <v>409.95</v>
      </c>
      <c r="H763" s="91"/>
      <c r="I763" s="91">
        <v>18</v>
      </c>
      <c r="J763" s="91">
        <v>7379.1</v>
      </c>
    </row>
    <row r="764" spans="1:10">
      <c r="A764" t="s">
        <v>753</v>
      </c>
      <c r="B764" t="s">
        <v>754</v>
      </c>
      <c r="C764" t="s">
        <v>20</v>
      </c>
      <c r="D764" t="s">
        <v>636</v>
      </c>
      <c r="E764" t="s">
        <v>654</v>
      </c>
      <c r="F764" t="s">
        <v>23</v>
      </c>
      <c r="G764" s="91">
        <v>204.975</v>
      </c>
      <c r="H764" s="91"/>
      <c r="I764" s="91">
        <v>109.000024393219</v>
      </c>
      <c r="J764" s="91">
        <v>22342.28</v>
      </c>
    </row>
    <row r="765" spans="1:10">
      <c r="A765" t="s">
        <v>755</v>
      </c>
      <c r="B765" t="s">
        <v>756</v>
      </c>
      <c r="C765" t="s">
        <v>11</v>
      </c>
      <c r="D765" t="s">
        <v>657</v>
      </c>
      <c r="E765" t="s">
        <v>658</v>
      </c>
      <c r="F765" t="s">
        <v>34</v>
      </c>
      <c r="G765" s="91">
        <v>2132.747</v>
      </c>
      <c r="H765" s="91"/>
      <c r="I765" s="91">
        <v>45.0000023443943</v>
      </c>
      <c r="J765" s="91">
        <v>95973.62</v>
      </c>
    </row>
    <row r="766" spans="1:10">
      <c r="A766" t="s">
        <v>757</v>
      </c>
      <c r="B766" t="s">
        <v>758</v>
      </c>
      <c r="C766" t="s">
        <v>11</v>
      </c>
      <c r="D766" t="s">
        <v>12</v>
      </c>
      <c r="E766" t="s">
        <v>13</v>
      </c>
      <c r="F766" t="s">
        <v>14</v>
      </c>
      <c r="G766" s="91">
        <v>0.802</v>
      </c>
      <c r="H766" s="91"/>
      <c r="I766" s="91">
        <v>450</v>
      </c>
      <c r="J766" s="91">
        <v>360.9</v>
      </c>
    </row>
    <row r="767" spans="1:10">
      <c r="A767" t="s">
        <v>757</v>
      </c>
      <c r="B767" t="s">
        <v>758</v>
      </c>
      <c r="C767" t="s">
        <v>11</v>
      </c>
      <c r="D767" t="s">
        <v>12</v>
      </c>
      <c r="E767" t="s">
        <v>15</v>
      </c>
      <c r="F767" t="s">
        <v>14</v>
      </c>
      <c r="G767" s="91">
        <v>0.125</v>
      </c>
      <c r="H767" s="91"/>
      <c r="I767" s="91">
        <v>600</v>
      </c>
      <c r="J767" s="91">
        <v>75</v>
      </c>
    </row>
    <row r="768" spans="1:10">
      <c r="A768" t="s">
        <v>757</v>
      </c>
      <c r="B768" t="s">
        <v>758</v>
      </c>
      <c r="C768" t="s">
        <v>11</v>
      </c>
      <c r="D768" t="s">
        <v>12</v>
      </c>
      <c r="E768" t="s">
        <v>28</v>
      </c>
      <c r="F768" t="s">
        <v>14</v>
      </c>
      <c r="G768" s="91">
        <v>0.038</v>
      </c>
      <c r="H768" s="91"/>
      <c r="I768" s="91">
        <v>600</v>
      </c>
      <c r="J768" s="91">
        <v>22.8</v>
      </c>
    </row>
    <row r="769" spans="1:10">
      <c r="A769" t="s">
        <v>757</v>
      </c>
      <c r="B769" t="s">
        <v>758</v>
      </c>
      <c r="C769" t="s">
        <v>20</v>
      </c>
      <c r="D769" t="s">
        <v>106</v>
      </c>
      <c r="E769" t="s">
        <v>107</v>
      </c>
      <c r="F769" t="s">
        <v>108</v>
      </c>
      <c r="G769" s="91">
        <v>1.534</v>
      </c>
      <c r="H769" s="91"/>
      <c r="I769" s="91">
        <v>3362.00130378096</v>
      </c>
      <c r="J769" s="91">
        <v>5157.31</v>
      </c>
    </row>
    <row r="770" spans="1:10">
      <c r="A770" t="s">
        <v>757</v>
      </c>
      <c r="B770" t="s">
        <v>758</v>
      </c>
      <c r="C770" t="s">
        <v>20</v>
      </c>
      <c r="D770" t="s">
        <v>596</v>
      </c>
      <c r="E770" t="s">
        <v>597</v>
      </c>
      <c r="F770" t="s">
        <v>46</v>
      </c>
      <c r="G770" s="91">
        <v>0.353</v>
      </c>
      <c r="H770" s="91"/>
      <c r="I770" s="91">
        <v>2200</v>
      </c>
      <c r="J770" s="91">
        <v>776.6</v>
      </c>
    </row>
    <row r="771" spans="1:10">
      <c r="A771" t="s">
        <v>759</v>
      </c>
      <c r="B771" t="s">
        <v>716</v>
      </c>
      <c r="C771" t="s">
        <v>11</v>
      </c>
      <c r="D771" t="s">
        <v>12</v>
      </c>
      <c r="E771" t="s">
        <v>13</v>
      </c>
      <c r="F771" t="s">
        <v>14</v>
      </c>
      <c r="G771" s="91">
        <v>0.802</v>
      </c>
      <c r="H771" s="91"/>
      <c r="I771" s="91">
        <v>450</v>
      </c>
      <c r="J771" s="91">
        <v>360.9</v>
      </c>
    </row>
    <row r="772" spans="1:10">
      <c r="A772" t="s">
        <v>759</v>
      </c>
      <c r="B772" t="s">
        <v>716</v>
      </c>
      <c r="C772" t="s">
        <v>11</v>
      </c>
      <c r="D772" t="s">
        <v>12</v>
      </c>
      <c r="E772" t="s">
        <v>15</v>
      </c>
      <c r="F772" t="s">
        <v>14</v>
      </c>
      <c r="G772" s="91">
        <v>0.125</v>
      </c>
      <c r="H772" s="91"/>
      <c r="I772" s="91">
        <v>600</v>
      </c>
      <c r="J772" s="91">
        <v>75</v>
      </c>
    </row>
    <row r="773" spans="1:10">
      <c r="A773" t="s">
        <v>759</v>
      </c>
      <c r="B773" t="s">
        <v>716</v>
      </c>
      <c r="C773" t="s">
        <v>11</v>
      </c>
      <c r="D773" t="s">
        <v>12</v>
      </c>
      <c r="E773" t="s">
        <v>28</v>
      </c>
      <c r="F773" t="s">
        <v>14</v>
      </c>
      <c r="G773" s="91">
        <v>0.038</v>
      </c>
      <c r="H773" s="91"/>
      <c r="I773" s="91">
        <v>600</v>
      </c>
      <c r="J773" s="91">
        <v>22.8</v>
      </c>
    </row>
    <row r="774" spans="1:10">
      <c r="A774" t="s">
        <v>759</v>
      </c>
      <c r="B774" t="s">
        <v>716</v>
      </c>
      <c r="C774" t="s">
        <v>20</v>
      </c>
      <c r="D774" t="s">
        <v>106</v>
      </c>
      <c r="E774" t="s">
        <v>107</v>
      </c>
      <c r="F774" t="s">
        <v>108</v>
      </c>
      <c r="G774" s="91">
        <v>2.556</v>
      </c>
      <c r="H774" s="91"/>
      <c r="I774" s="91">
        <v>3361.99921752739</v>
      </c>
      <c r="J774" s="91">
        <v>8593.27</v>
      </c>
    </row>
    <row r="775" spans="1:10">
      <c r="A775" t="s">
        <v>760</v>
      </c>
      <c r="B775" t="s">
        <v>761</v>
      </c>
      <c r="C775" t="s">
        <v>11</v>
      </c>
      <c r="D775" t="s">
        <v>665</v>
      </c>
      <c r="E775" t="s">
        <v>666</v>
      </c>
      <c r="F775" t="s">
        <v>34</v>
      </c>
      <c r="G775" s="91">
        <v>1025.312</v>
      </c>
      <c r="H775" s="91"/>
      <c r="I775" s="91">
        <v>33.309997347149</v>
      </c>
      <c r="J775" s="91">
        <v>34153.14</v>
      </c>
    </row>
    <row r="776" spans="1:10">
      <c r="A776" t="s">
        <v>760</v>
      </c>
      <c r="B776" t="s">
        <v>761</v>
      </c>
      <c r="C776" t="s">
        <v>11</v>
      </c>
      <c r="D776" t="s">
        <v>12</v>
      </c>
      <c r="E776" t="s">
        <v>13</v>
      </c>
      <c r="F776" t="s">
        <v>14</v>
      </c>
      <c r="G776" s="91">
        <v>52.079</v>
      </c>
      <c r="H776" s="91"/>
      <c r="I776" s="91">
        <v>450</v>
      </c>
      <c r="J776" s="91">
        <v>23435.55</v>
      </c>
    </row>
    <row r="777" spans="1:10">
      <c r="A777" t="s">
        <v>760</v>
      </c>
      <c r="B777" t="s">
        <v>761</v>
      </c>
      <c r="C777" t="s">
        <v>11</v>
      </c>
      <c r="D777" t="s">
        <v>12</v>
      </c>
      <c r="E777" t="s">
        <v>15</v>
      </c>
      <c r="F777" t="s">
        <v>14</v>
      </c>
      <c r="G777" s="91">
        <v>8.137</v>
      </c>
      <c r="H777" s="91"/>
      <c r="I777" s="91">
        <v>600</v>
      </c>
      <c r="J777" s="91">
        <v>4882.2</v>
      </c>
    </row>
    <row r="778" spans="1:10">
      <c r="A778" t="s">
        <v>760</v>
      </c>
      <c r="B778" t="s">
        <v>761</v>
      </c>
      <c r="C778" t="s">
        <v>11</v>
      </c>
      <c r="D778" t="s">
        <v>12</v>
      </c>
      <c r="E778" t="s">
        <v>28</v>
      </c>
      <c r="F778" t="s">
        <v>14</v>
      </c>
      <c r="G778" s="91">
        <v>2.441</v>
      </c>
      <c r="H778" s="91"/>
      <c r="I778" s="91">
        <v>600</v>
      </c>
      <c r="J778" s="91">
        <v>1464.6</v>
      </c>
    </row>
    <row r="779" spans="1:10">
      <c r="A779" t="s">
        <v>760</v>
      </c>
      <c r="B779" t="s">
        <v>761</v>
      </c>
      <c r="C779" t="s">
        <v>20</v>
      </c>
      <c r="D779" t="s">
        <v>59</v>
      </c>
      <c r="E779" t="s">
        <v>667</v>
      </c>
      <c r="F779" t="s">
        <v>49</v>
      </c>
      <c r="G779" s="91">
        <v>154.611</v>
      </c>
      <c r="H779" s="91"/>
      <c r="I779" s="91">
        <v>41.9999870643098</v>
      </c>
      <c r="J779" s="91">
        <v>6493.66</v>
      </c>
    </row>
    <row r="780" spans="1:10">
      <c r="A780" t="s">
        <v>760</v>
      </c>
      <c r="B780" t="s">
        <v>761</v>
      </c>
      <c r="C780" t="s">
        <v>20</v>
      </c>
      <c r="D780" t="s">
        <v>59</v>
      </c>
      <c r="E780" t="s">
        <v>668</v>
      </c>
      <c r="F780" t="s">
        <v>49</v>
      </c>
      <c r="G780" s="91">
        <v>208.317</v>
      </c>
      <c r="H780" s="91"/>
      <c r="I780" s="91">
        <v>15.0000240018817</v>
      </c>
      <c r="J780" s="91">
        <v>3124.76</v>
      </c>
    </row>
    <row r="781" spans="1:10">
      <c r="A781" t="s">
        <v>760</v>
      </c>
      <c r="B781" t="s">
        <v>761</v>
      </c>
      <c r="C781" t="s">
        <v>20</v>
      </c>
      <c r="D781" t="s">
        <v>59</v>
      </c>
      <c r="E781" t="s">
        <v>60</v>
      </c>
      <c r="F781" t="s">
        <v>49</v>
      </c>
      <c r="G781" s="91">
        <v>91.464</v>
      </c>
      <c r="H781" s="91"/>
      <c r="I781" s="91">
        <v>17.0000218665267</v>
      </c>
      <c r="J781" s="91">
        <v>1554.89</v>
      </c>
    </row>
    <row r="782" spans="1:10">
      <c r="A782" t="s">
        <v>760</v>
      </c>
      <c r="B782" t="s">
        <v>761</v>
      </c>
      <c r="C782" t="s">
        <v>20</v>
      </c>
      <c r="D782" t="s">
        <v>106</v>
      </c>
      <c r="E782" t="s">
        <v>669</v>
      </c>
      <c r="F782" t="s">
        <v>108</v>
      </c>
      <c r="G782" s="91">
        <v>166.003</v>
      </c>
      <c r="H782" s="91"/>
      <c r="I782" s="91">
        <v>4522.00002409595</v>
      </c>
      <c r="J782" s="91">
        <v>750665.57</v>
      </c>
    </row>
    <row r="783" spans="1:10">
      <c r="A783" t="s">
        <v>762</v>
      </c>
      <c r="B783" t="s">
        <v>763</v>
      </c>
      <c r="C783" t="s">
        <v>11</v>
      </c>
      <c r="D783" t="s">
        <v>665</v>
      </c>
      <c r="E783" t="s">
        <v>666</v>
      </c>
      <c r="F783" t="s">
        <v>34</v>
      </c>
      <c r="G783" s="91">
        <v>698.26</v>
      </c>
      <c r="H783" s="91"/>
      <c r="I783" s="91">
        <v>33.3099991407212</v>
      </c>
      <c r="J783" s="91">
        <v>23259.04</v>
      </c>
    </row>
    <row r="784" spans="1:10">
      <c r="A784" t="s">
        <v>762</v>
      </c>
      <c r="B784" t="s">
        <v>763</v>
      </c>
      <c r="C784" t="s">
        <v>11</v>
      </c>
      <c r="D784" t="s">
        <v>12</v>
      </c>
      <c r="E784" t="s">
        <v>13</v>
      </c>
      <c r="F784" t="s">
        <v>14</v>
      </c>
      <c r="G784" s="91">
        <v>35.467</v>
      </c>
      <c r="H784" s="91"/>
      <c r="I784" s="91">
        <v>450</v>
      </c>
      <c r="J784" s="91">
        <v>15960.15</v>
      </c>
    </row>
    <row r="785" spans="1:10">
      <c r="A785" t="s">
        <v>762</v>
      </c>
      <c r="B785" t="s">
        <v>763</v>
      </c>
      <c r="C785" t="s">
        <v>11</v>
      </c>
      <c r="D785" t="s">
        <v>12</v>
      </c>
      <c r="E785" t="s">
        <v>15</v>
      </c>
      <c r="F785" t="s">
        <v>14</v>
      </c>
      <c r="G785" s="91">
        <v>5.542</v>
      </c>
      <c r="H785" s="91"/>
      <c r="I785" s="91">
        <v>600</v>
      </c>
      <c r="J785" s="91">
        <v>3325.2</v>
      </c>
    </row>
    <row r="786" spans="1:10">
      <c r="A786" t="s">
        <v>762</v>
      </c>
      <c r="B786" t="s">
        <v>763</v>
      </c>
      <c r="C786" t="s">
        <v>11</v>
      </c>
      <c r="D786" t="s">
        <v>12</v>
      </c>
      <c r="E786" t="s">
        <v>28</v>
      </c>
      <c r="F786" t="s">
        <v>14</v>
      </c>
      <c r="G786" s="91">
        <v>1.663</v>
      </c>
      <c r="H786" s="91"/>
      <c r="I786" s="91">
        <v>600</v>
      </c>
      <c r="J786" s="91">
        <v>997.8</v>
      </c>
    </row>
    <row r="787" spans="1:10">
      <c r="A787" t="s">
        <v>762</v>
      </c>
      <c r="B787" t="s">
        <v>763</v>
      </c>
      <c r="C787" t="s">
        <v>20</v>
      </c>
      <c r="D787" t="s">
        <v>59</v>
      </c>
      <c r="E787" t="s">
        <v>667</v>
      </c>
      <c r="F787" t="s">
        <v>49</v>
      </c>
      <c r="G787" s="91">
        <v>105.293</v>
      </c>
      <c r="H787" s="91"/>
      <c r="I787" s="91">
        <v>42.0000379892301</v>
      </c>
      <c r="J787" s="91">
        <v>4422.31</v>
      </c>
    </row>
    <row r="788" spans="1:10">
      <c r="A788" t="s">
        <v>762</v>
      </c>
      <c r="B788" t="s">
        <v>763</v>
      </c>
      <c r="C788" t="s">
        <v>20</v>
      </c>
      <c r="D788" t="s">
        <v>59</v>
      </c>
      <c r="E788" t="s">
        <v>668</v>
      </c>
      <c r="F788" t="s">
        <v>49</v>
      </c>
      <c r="G788" s="91">
        <v>141.869</v>
      </c>
      <c r="H788" s="91"/>
      <c r="I788" s="91">
        <v>15.0000352437812</v>
      </c>
      <c r="J788" s="91">
        <v>2128.04</v>
      </c>
    </row>
    <row r="789" spans="1:10">
      <c r="A789" t="s">
        <v>762</v>
      </c>
      <c r="B789" t="s">
        <v>763</v>
      </c>
      <c r="C789" t="s">
        <v>20</v>
      </c>
      <c r="D789" t="s">
        <v>59</v>
      </c>
      <c r="E789" t="s">
        <v>60</v>
      </c>
      <c r="F789" t="s">
        <v>49</v>
      </c>
      <c r="G789" s="91">
        <v>62.289</v>
      </c>
      <c r="H789" s="91"/>
      <c r="I789" s="91">
        <v>16.9999518374031</v>
      </c>
      <c r="J789" s="91">
        <v>1058.91</v>
      </c>
    </row>
    <row r="790" spans="1:10">
      <c r="A790" t="s">
        <v>762</v>
      </c>
      <c r="B790" t="s">
        <v>763</v>
      </c>
      <c r="C790" t="s">
        <v>20</v>
      </c>
      <c r="D790" t="s">
        <v>106</v>
      </c>
      <c r="E790" t="s">
        <v>672</v>
      </c>
      <c r="F790" t="s">
        <v>108</v>
      </c>
      <c r="G790" s="91">
        <v>113.052</v>
      </c>
      <c r="H790" s="91"/>
      <c r="I790" s="91">
        <v>5000</v>
      </c>
      <c r="J790" s="91">
        <v>565260</v>
      </c>
    </row>
    <row r="791" spans="1:10">
      <c r="A791" t="s">
        <v>764</v>
      </c>
      <c r="B791" t="s">
        <v>765</v>
      </c>
      <c r="C791" t="s">
        <v>11</v>
      </c>
      <c r="D791" t="s">
        <v>665</v>
      </c>
      <c r="E791" t="s">
        <v>666</v>
      </c>
      <c r="F791" t="s">
        <v>34</v>
      </c>
      <c r="G791" s="91">
        <v>19339.463</v>
      </c>
      <c r="H791" s="91"/>
      <c r="I791" s="91">
        <v>33.3099998691794</v>
      </c>
      <c r="J791" s="91">
        <v>644197.51</v>
      </c>
    </row>
    <row r="792" spans="1:10">
      <c r="A792" t="s">
        <v>764</v>
      </c>
      <c r="B792" t="s">
        <v>765</v>
      </c>
      <c r="C792" t="s">
        <v>11</v>
      </c>
      <c r="D792" t="s">
        <v>12</v>
      </c>
      <c r="E792" t="s">
        <v>13</v>
      </c>
      <c r="F792" t="s">
        <v>14</v>
      </c>
      <c r="G792" s="91">
        <v>982.322</v>
      </c>
      <c r="H792" s="91"/>
      <c r="I792" s="91">
        <v>450</v>
      </c>
      <c r="J792" s="91">
        <v>442044.9</v>
      </c>
    </row>
    <row r="793" spans="1:10">
      <c r="A793" t="s">
        <v>764</v>
      </c>
      <c r="B793" t="s">
        <v>765</v>
      </c>
      <c r="C793" t="s">
        <v>11</v>
      </c>
      <c r="D793" t="s">
        <v>12</v>
      </c>
      <c r="E793" t="s">
        <v>15</v>
      </c>
      <c r="F793" t="s">
        <v>14</v>
      </c>
      <c r="G793" s="91">
        <v>153.488</v>
      </c>
      <c r="H793" s="91"/>
      <c r="I793" s="91">
        <v>600</v>
      </c>
      <c r="J793" s="91">
        <v>92092.8</v>
      </c>
    </row>
    <row r="794" spans="1:10">
      <c r="A794" t="s">
        <v>764</v>
      </c>
      <c r="B794" t="s">
        <v>765</v>
      </c>
      <c r="C794" t="s">
        <v>11</v>
      </c>
      <c r="D794" t="s">
        <v>12</v>
      </c>
      <c r="E794" t="s">
        <v>28</v>
      </c>
      <c r="F794" t="s">
        <v>14</v>
      </c>
      <c r="G794" s="91">
        <v>46.046</v>
      </c>
      <c r="H794" s="91"/>
      <c r="I794" s="91">
        <v>600</v>
      </c>
      <c r="J794" s="91">
        <v>27627.6</v>
      </c>
    </row>
    <row r="795" spans="1:10">
      <c r="A795" t="s">
        <v>764</v>
      </c>
      <c r="B795" t="s">
        <v>765</v>
      </c>
      <c r="C795" t="s">
        <v>20</v>
      </c>
      <c r="D795" t="s">
        <v>59</v>
      </c>
      <c r="E795" t="s">
        <v>667</v>
      </c>
      <c r="F795" t="s">
        <v>49</v>
      </c>
      <c r="G795" s="91">
        <v>2916.268</v>
      </c>
      <c r="H795" s="91"/>
      <c r="I795" s="91">
        <v>42.0000013716161</v>
      </c>
      <c r="J795" s="91">
        <v>122483.26</v>
      </c>
    </row>
    <row r="796" spans="1:10">
      <c r="A796" t="s">
        <v>764</v>
      </c>
      <c r="B796" t="s">
        <v>765</v>
      </c>
      <c r="C796" t="s">
        <v>20</v>
      </c>
      <c r="D796" t="s">
        <v>59</v>
      </c>
      <c r="E796" t="s">
        <v>668</v>
      </c>
      <c r="F796" t="s">
        <v>49</v>
      </c>
      <c r="G796" s="91">
        <v>3929.288</v>
      </c>
      <c r="H796" s="91"/>
      <c r="I796" s="91">
        <v>15</v>
      </c>
      <c r="J796" s="91">
        <v>58939.32</v>
      </c>
    </row>
    <row r="797" spans="1:10">
      <c r="A797" t="s">
        <v>764</v>
      </c>
      <c r="B797" t="s">
        <v>765</v>
      </c>
      <c r="C797" t="s">
        <v>20</v>
      </c>
      <c r="D797" t="s">
        <v>59</v>
      </c>
      <c r="E797" t="s">
        <v>60</v>
      </c>
      <c r="F797" t="s">
        <v>49</v>
      </c>
      <c r="G797" s="91">
        <v>1725.203</v>
      </c>
      <c r="H797" s="91"/>
      <c r="I797" s="91">
        <v>16.9999994203581</v>
      </c>
      <c r="J797" s="91">
        <v>29328.45</v>
      </c>
    </row>
    <row r="798" spans="1:10">
      <c r="A798" t="s">
        <v>764</v>
      </c>
      <c r="B798" t="s">
        <v>765</v>
      </c>
      <c r="C798" t="s">
        <v>20</v>
      </c>
      <c r="D798" t="s">
        <v>106</v>
      </c>
      <c r="E798" t="s">
        <v>675</v>
      </c>
      <c r="F798" t="s">
        <v>108</v>
      </c>
      <c r="G798" s="91">
        <v>3131.151</v>
      </c>
      <c r="H798" s="91"/>
      <c r="I798" s="91">
        <v>5450</v>
      </c>
      <c r="J798" s="91">
        <v>17064772.95</v>
      </c>
    </row>
    <row r="799" spans="1:10">
      <c r="A799" t="s">
        <v>766</v>
      </c>
      <c r="B799" t="s">
        <v>767</v>
      </c>
      <c r="C799" t="s">
        <v>11</v>
      </c>
      <c r="D799" t="s">
        <v>12</v>
      </c>
      <c r="E799" t="s">
        <v>13</v>
      </c>
      <c r="F799" t="s">
        <v>14</v>
      </c>
      <c r="G799" s="91">
        <v>13.02</v>
      </c>
      <c r="H799" s="91"/>
      <c r="I799" s="91">
        <v>450</v>
      </c>
      <c r="J799" s="91">
        <v>5859</v>
      </c>
    </row>
    <row r="800" spans="1:10">
      <c r="A800" t="s">
        <v>766</v>
      </c>
      <c r="B800" t="s">
        <v>767</v>
      </c>
      <c r="C800" t="s">
        <v>11</v>
      </c>
      <c r="D800" t="s">
        <v>12</v>
      </c>
      <c r="E800" t="s">
        <v>15</v>
      </c>
      <c r="F800" t="s">
        <v>14</v>
      </c>
      <c r="G800" s="91">
        <v>2.034</v>
      </c>
      <c r="H800" s="91"/>
      <c r="I800" s="91">
        <v>600</v>
      </c>
      <c r="J800" s="91">
        <v>1220.4</v>
      </c>
    </row>
    <row r="801" spans="1:10">
      <c r="A801" t="s">
        <v>766</v>
      </c>
      <c r="B801" t="s">
        <v>767</v>
      </c>
      <c r="C801" t="s">
        <v>11</v>
      </c>
      <c r="D801" t="s">
        <v>12</v>
      </c>
      <c r="E801" t="s">
        <v>28</v>
      </c>
      <c r="F801" t="s">
        <v>14</v>
      </c>
      <c r="G801" s="91">
        <v>0.61</v>
      </c>
      <c r="H801" s="91"/>
      <c r="I801" s="91">
        <v>600</v>
      </c>
      <c r="J801" s="91">
        <v>366</v>
      </c>
    </row>
    <row r="802" spans="1:10">
      <c r="A802" t="s">
        <v>766</v>
      </c>
      <c r="B802" t="s">
        <v>767</v>
      </c>
      <c r="C802" t="s">
        <v>20</v>
      </c>
      <c r="D802" t="s">
        <v>59</v>
      </c>
      <c r="E802" t="s">
        <v>667</v>
      </c>
      <c r="F802" t="s">
        <v>49</v>
      </c>
      <c r="G802" s="91">
        <v>38.653</v>
      </c>
      <c r="H802" s="91"/>
      <c r="I802" s="91">
        <v>42.0001034848524</v>
      </c>
      <c r="J802" s="91">
        <v>1623.43</v>
      </c>
    </row>
    <row r="803" spans="1:10">
      <c r="A803" t="s">
        <v>766</v>
      </c>
      <c r="B803" t="s">
        <v>767</v>
      </c>
      <c r="C803" t="s">
        <v>20</v>
      </c>
      <c r="D803" t="s">
        <v>59</v>
      </c>
      <c r="E803" t="s">
        <v>668</v>
      </c>
      <c r="F803" t="s">
        <v>49</v>
      </c>
      <c r="G803" s="91">
        <v>52.079</v>
      </c>
      <c r="H803" s="91"/>
      <c r="I803" s="91">
        <v>15.0000960079879</v>
      </c>
      <c r="J803" s="91">
        <v>781.19</v>
      </c>
    </row>
    <row r="804" spans="1:10">
      <c r="A804" t="s">
        <v>766</v>
      </c>
      <c r="B804" t="s">
        <v>767</v>
      </c>
      <c r="C804" t="s">
        <v>20</v>
      </c>
      <c r="D804" t="s">
        <v>59</v>
      </c>
      <c r="E804" t="s">
        <v>60</v>
      </c>
      <c r="F804" t="s">
        <v>49</v>
      </c>
      <c r="G804" s="91">
        <v>22.866</v>
      </c>
      <c r="H804" s="91"/>
      <c r="I804" s="91">
        <v>16.9999125338931</v>
      </c>
      <c r="J804" s="91">
        <v>388.72</v>
      </c>
    </row>
    <row r="805" spans="1:10">
      <c r="A805" t="s">
        <v>766</v>
      </c>
      <c r="B805" t="s">
        <v>767</v>
      </c>
      <c r="C805" t="s">
        <v>20</v>
      </c>
      <c r="D805" t="s">
        <v>106</v>
      </c>
      <c r="E805" t="s">
        <v>678</v>
      </c>
      <c r="F805" t="s">
        <v>108</v>
      </c>
      <c r="G805" s="91">
        <v>41.501</v>
      </c>
      <c r="H805" s="91"/>
      <c r="I805" s="91">
        <v>6000</v>
      </c>
      <c r="J805" s="91">
        <v>249006</v>
      </c>
    </row>
    <row r="806" spans="1:10">
      <c r="A806" t="s">
        <v>768</v>
      </c>
      <c r="B806" t="s">
        <v>769</v>
      </c>
      <c r="C806" t="s">
        <v>11</v>
      </c>
      <c r="D806" t="s">
        <v>12</v>
      </c>
      <c r="E806" t="s">
        <v>13</v>
      </c>
      <c r="F806" t="s">
        <v>14</v>
      </c>
      <c r="G806" s="91">
        <v>1.403</v>
      </c>
      <c r="H806" s="91"/>
      <c r="I806" s="91">
        <v>450</v>
      </c>
      <c r="J806" s="91">
        <v>631.35</v>
      </c>
    </row>
    <row r="807" spans="1:10">
      <c r="A807" t="s">
        <v>768</v>
      </c>
      <c r="B807" t="s">
        <v>769</v>
      </c>
      <c r="C807" t="s">
        <v>11</v>
      </c>
      <c r="D807" t="s">
        <v>12</v>
      </c>
      <c r="E807" t="s">
        <v>15</v>
      </c>
      <c r="F807" t="s">
        <v>14</v>
      </c>
      <c r="G807" s="91">
        <v>0.219</v>
      </c>
      <c r="H807" s="91"/>
      <c r="I807" s="91">
        <v>600</v>
      </c>
      <c r="J807" s="91">
        <v>131.4</v>
      </c>
    </row>
    <row r="808" spans="1:10">
      <c r="A808" t="s">
        <v>768</v>
      </c>
      <c r="B808" t="s">
        <v>769</v>
      </c>
      <c r="C808" t="s">
        <v>11</v>
      </c>
      <c r="D808" t="s">
        <v>12</v>
      </c>
      <c r="E808" t="s">
        <v>28</v>
      </c>
      <c r="F808" t="s">
        <v>14</v>
      </c>
      <c r="G808" s="91">
        <v>0.066</v>
      </c>
      <c r="H808" s="91"/>
      <c r="I808" s="91">
        <v>600</v>
      </c>
      <c r="J808" s="91">
        <v>39.6</v>
      </c>
    </row>
    <row r="809" spans="1:10">
      <c r="A809" t="s">
        <v>768</v>
      </c>
      <c r="B809" t="s">
        <v>769</v>
      </c>
      <c r="C809" t="s">
        <v>20</v>
      </c>
      <c r="D809" t="s">
        <v>106</v>
      </c>
      <c r="E809" t="s">
        <v>107</v>
      </c>
      <c r="F809" t="s">
        <v>108</v>
      </c>
      <c r="G809" s="91">
        <v>2.683</v>
      </c>
      <c r="H809" s="91"/>
      <c r="I809" s="91">
        <v>3362.00149086843</v>
      </c>
      <c r="J809" s="91">
        <v>9020.25</v>
      </c>
    </row>
    <row r="810" spans="1:10">
      <c r="A810" t="s">
        <v>768</v>
      </c>
      <c r="B810" t="s">
        <v>769</v>
      </c>
      <c r="C810" t="s">
        <v>20</v>
      </c>
      <c r="D810" t="s">
        <v>596</v>
      </c>
      <c r="E810" t="s">
        <v>597</v>
      </c>
      <c r="F810" t="s">
        <v>46</v>
      </c>
      <c r="G810" s="91">
        <v>0.618</v>
      </c>
      <c r="H810" s="91"/>
      <c r="I810" s="91">
        <v>2200</v>
      </c>
      <c r="J810" s="91">
        <v>1359.6</v>
      </c>
    </row>
    <row r="811" spans="1:10">
      <c r="A811" t="s">
        <v>770</v>
      </c>
      <c r="B811" t="s">
        <v>771</v>
      </c>
      <c r="C811" t="s">
        <v>11</v>
      </c>
      <c r="D811" t="s">
        <v>24</v>
      </c>
      <c r="E811" t="s">
        <v>604</v>
      </c>
      <c r="F811" t="s">
        <v>34</v>
      </c>
      <c r="G811" s="91">
        <v>3660.309</v>
      </c>
      <c r="H811" s="91"/>
      <c r="I811" s="91">
        <v>50</v>
      </c>
      <c r="J811" s="91">
        <v>183015.45</v>
      </c>
    </row>
    <row r="812" spans="1:10">
      <c r="A812" t="s">
        <v>770</v>
      </c>
      <c r="B812" t="s">
        <v>771</v>
      </c>
      <c r="C812" t="s">
        <v>11</v>
      </c>
      <c r="D812" t="s">
        <v>24</v>
      </c>
      <c r="E812" t="s">
        <v>605</v>
      </c>
      <c r="F812" t="s">
        <v>34</v>
      </c>
      <c r="G812" s="91">
        <v>747.801</v>
      </c>
      <c r="H812" s="91"/>
      <c r="I812" s="91">
        <v>80</v>
      </c>
      <c r="J812" s="91">
        <v>59824.08</v>
      </c>
    </row>
    <row r="813" spans="1:10">
      <c r="A813" t="s">
        <v>770</v>
      </c>
      <c r="B813" t="s">
        <v>771</v>
      </c>
      <c r="C813" t="s">
        <v>11</v>
      </c>
      <c r="D813" t="s">
        <v>24</v>
      </c>
      <c r="E813" t="s">
        <v>606</v>
      </c>
      <c r="F813" t="s">
        <v>34</v>
      </c>
      <c r="G813" s="91">
        <v>3660.309</v>
      </c>
      <c r="H813" s="91"/>
      <c r="I813" s="91">
        <v>272.000000546402</v>
      </c>
      <c r="J813" s="91">
        <v>995604.05</v>
      </c>
    </row>
    <row r="814" spans="1:10">
      <c r="A814" t="s">
        <v>770</v>
      </c>
      <c r="B814" t="s">
        <v>771</v>
      </c>
      <c r="C814" t="s">
        <v>20</v>
      </c>
      <c r="D814" t="s">
        <v>47</v>
      </c>
      <c r="E814" t="s">
        <v>50</v>
      </c>
      <c r="F814" t="s">
        <v>49</v>
      </c>
      <c r="G814" s="91">
        <v>109.809</v>
      </c>
      <c r="H814" s="91"/>
      <c r="I814" s="91">
        <v>60</v>
      </c>
      <c r="J814" s="91">
        <v>6588.54</v>
      </c>
    </row>
    <row r="815" spans="1:10">
      <c r="A815" t="s">
        <v>770</v>
      </c>
      <c r="B815" t="s">
        <v>771</v>
      </c>
      <c r="C815" t="s">
        <v>20</v>
      </c>
      <c r="D815" t="s">
        <v>61</v>
      </c>
      <c r="E815" t="s">
        <v>78</v>
      </c>
      <c r="F815" t="s">
        <v>49</v>
      </c>
      <c r="G815" s="91">
        <v>102.464</v>
      </c>
      <c r="H815" s="91"/>
      <c r="I815" s="91">
        <v>95</v>
      </c>
      <c r="J815" s="91">
        <v>9734.08</v>
      </c>
    </row>
    <row r="816" spans="1:10">
      <c r="A816" t="s">
        <v>770</v>
      </c>
      <c r="B816" t="s">
        <v>771</v>
      </c>
      <c r="C816" t="s">
        <v>20</v>
      </c>
      <c r="D816" t="s">
        <v>61</v>
      </c>
      <c r="E816" t="s">
        <v>607</v>
      </c>
      <c r="F816" t="s">
        <v>23</v>
      </c>
      <c r="G816" s="91">
        <v>40.986</v>
      </c>
      <c r="H816" s="91"/>
      <c r="I816" s="91">
        <v>115.20006831601</v>
      </c>
      <c r="J816" s="91">
        <v>4721.59</v>
      </c>
    </row>
    <row r="817" spans="1:10">
      <c r="A817" t="s">
        <v>770</v>
      </c>
      <c r="B817" t="s">
        <v>771</v>
      </c>
      <c r="C817" t="s">
        <v>20</v>
      </c>
      <c r="D817" t="s">
        <v>84</v>
      </c>
      <c r="E817" t="s">
        <v>86</v>
      </c>
      <c r="F817" t="s">
        <v>49</v>
      </c>
      <c r="G817" s="91">
        <v>73.206</v>
      </c>
      <c r="H817" s="91"/>
      <c r="I817" s="91">
        <v>60</v>
      </c>
      <c r="J817" s="91">
        <v>4392.36</v>
      </c>
    </row>
    <row r="818" spans="1:10">
      <c r="A818" t="s">
        <v>770</v>
      </c>
      <c r="B818" t="s">
        <v>771</v>
      </c>
      <c r="C818" t="s">
        <v>20</v>
      </c>
      <c r="D818" t="s">
        <v>84</v>
      </c>
      <c r="E818" t="s">
        <v>88</v>
      </c>
      <c r="F818" t="s">
        <v>49</v>
      </c>
      <c r="G818" s="91">
        <v>146.412</v>
      </c>
      <c r="H818" s="91"/>
      <c r="I818" s="91">
        <v>60</v>
      </c>
      <c r="J818" s="91">
        <v>8784.72</v>
      </c>
    </row>
    <row r="819" spans="1:10">
      <c r="A819" t="s">
        <v>770</v>
      </c>
      <c r="B819" t="s">
        <v>771</v>
      </c>
      <c r="C819" t="s">
        <v>20</v>
      </c>
      <c r="D819" t="s">
        <v>84</v>
      </c>
      <c r="E819" t="s">
        <v>89</v>
      </c>
      <c r="F819" t="s">
        <v>49</v>
      </c>
      <c r="G819" s="91">
        <v>146.412</v>
      </c>
      <c r="H819" s="91"/>
      <c r="I819" s="91">
        <v>60</v>
      </c>
      <c r="J819" s="91">
        <v>8784.72</v>
      </c>
    </row>
    <row r="820" spans="1:10">
      <c r="A820" t="s">
        <v>770</v>
      </c>
      <c r="B820" t="s">
        <v>771</v>
      </c>
      <c r="C820" t="s">
        <v>20</v>
      </c>
      <c r="D820" t="s">
        <v>84</v>
      </c>
      <c r="E820" t="s">
        <v>608</v>
      </c>
      <c r="F820" t="s">
        <v>100</v>
      </c>
      <c r="G820" s="91">
        <v>4923.116</v>
      </c>
      <c r="H820" s="91"/>
      <c r="I820" s="91">
        <v>66.9999995937532</v>
      </c>
      <c r="J820" s="91">
        <v>329848.77</v>
      </c>
    </row>
    <row r="821" spans="1:10">
      <c r="A821" t="s">
        <v>770</v>
      </c>
      <c r="B821" t="s">
        <v>771</v>
      </c>
      <c r="C821" t="s">
        <v>20</v>
      </c>
      <c r="D821" t="s">
        <v>84</v>
      </c>
      <c r="E821" t="s">
        <v>609</v>
      </c>
      <c r="F821" t="s">
        <v>63</v>
      </c>
      <c r="G821" s="91">
        <v>146.412</v>
      </c>
      <c r="H821" s="91"/>
      <c r="I821" s="91">
        <v>135</v>
      </c>
      <c r="J821" s="91">
        <v>19765.62</v>
      </c>
    </row>
    <row r="822" spans="1:10">
      <c r="A822" t="s">
        <v>770</v>
      </c>
      <c r="B822" t="s">
        <v>771</v>
      </c>
      <c r="C822" t="s">
        <v>20</v>
      </c>
      <c r="D822" t="s">
        <v>84</v>
      </c>
      <c r="E822" t="s">
        <v>610</v>
      </c>
      <c r="F822" t="s">
        <v>611</v>
      </c>
      <c r="G822" s="91">
        <v>336.748</v>
      </c>
      <c r="H822" s="91"/>
      <c r="I822" s="91">
        <v>395</v>
      </c>
      <c r="J822" s="91">
        <v>133015.46</v>
      </c>
    </row>
    <row r="823" spans="1:10">
      <c r="A823" t="s">
        <v>770</v>
      </c>
      <c r="B823" t="s">
        <v>771</v>
      </c>
      <c r="C823" t="s">
        <v>20</v>
      </c>
      <c r="D823" t="s">
        <v>84</v>
      </c>
      <c r="E823" t="s">
        <v>612</v>
      </c>
      <c r="F823" t="s">
        <v>611</v>
      </c>
      <c r="G823" s="91">
        <v>263.542</v>
      </c>
      <c r="H823" s="91"/>
      <c r="I823" s="91">
        <v>295</v>
      </c>
      <c r="J823" s="91">
        <v>77744.89</v>
      </c>
    </row>
    <row r="824" spans="1:10">
      <c r="A824" t="s">
        <v>772</v>
      </c>
      <c r="B824" t="s">
        <v>773</v>
      </c>
      <c r="C824" t="s">
        <v>20</v>
      </c>
      <c r="D824" t="s">
        <v>47</v>
      </c>
      <c r="E824" t="s">
        <v>48</v>
      </c>
      <c r="F824" t="s">
        <v>49</v>
      </c>
      <c r="G824" s="91">
        <v>2072.544</v>
      </c>
      <c r="H824" s="91"/>
      <c r="I824" s="91">
        <v>75</v>
      </c>
      <c r="J824" s="91">
        <v>155440.8</v>
      </c>
    </row>
    <row r="825" spans="1:10">
      <c r="A825" t="s">
        <v>772</v>
      </c>
      <c r="B825" t="s">
        <v>773</v>
      </c>
      <c r="C825" t="s">
        <v>20</v>
      </c>
      <c r="D825" t="s">
        <v>624</v>
      </c>
      <c r="E825" t="s">
        <v>625</v>
      </c>
      <c r="F825" t="s">
        <v>23</v>
      </c>
      <c r="G825" s="91">
        <v>5181.36</v>
      </c>
      <c r="H825" s="91"/>
      <c r="I825" s="91">
        <v>0.800000385999043</v>
      </c>
      <c r="J825" s="91">
        <v>4145.09</v>
      </c>
    </row>
    <row r="826" spans="1:10">
      <c r="A826" t="s">
        <v>772</v>
      </c>
      <c r="B826" t="s">
        <v>773</v>
      </c>
      <c r="C826" t="s">
        <v>20</v>
      </c>
      <c r="D826" t="s">
        <v>624</v>
      </c>
      <c r="E826" t="s">
        <v>626</v>
      </c>
      <c r="F826" t="s">
        <v>23</v>
      </c>
      <c r="G826" s="91">
        <v>5181.36</v>
      </c>
      <c r="H826" s="91"/>
      <c r="I826" s="91">
        <v>0.899999228001915</v>
      </c>
      <c r="J826" s="91">
        <v>4663.22</v>
      </c>
    </row>
    <row r="827" spans="1:10">
      <c r="A827" t="s">
        <v>772</v>
      </c>
      <c r="B827" t="s">
        <v>773</v>
      </c>
      <c r="C827" t="s">
        <v>20</v>
      </c>
      <c r="D827" t="s">
        <v>624</v>
      </c>
      <c r="E827" t="s">
        <v>627</v>
      </c>
      <c r="F827" t="s">
        <v>23</v>
      </c>
      <c r="G827" s="91">
        <v>5181.36</v>
      </c>
      <c r="H827" s="91"/>
      <c r="I827" s="91">
        <v>3.10000077199809</v>
      </c>
      <c r="J827" s="91">
        <v>16062.22</v>
      </c>
    </row>
    <row r="828" spans="1:10">
      <c r="A828" t="s">
        <v>772</v>
      </c>
      <c r="B828" t="s">
        <v>773</v>
      </c>
      <c r="C828" t="s">
        <v>20</v>
      </c>
      <c r="D828" t="s">
        <v>624</v>
      </c>
      <c r="E828" t="s">
        <v>628</v>
      </c>
      <c r="F828" t="s">
        <v>23</v>
      </c>
      <c r="G828" s="91">
        <v>6476.7</v>
      </c>
      <c r="H828" s="91"/>
      <c r="I828" s="91">
        <v>3.1</v>
      </c>
      <c r="J828" s="91">
        <v>20077.77</v>
      </c>
    </row>
    <row r="829" spans="1:10">
      <c r="A829" t="s">
        <v>772</v>
      </c>
      <c r="B829" t="s">
        <v>773</v>
      </c>
      <c r="C829" t="s">
        <v>11</v>
      </c>
      <c r="D829" t="s">
        <v>630</v>
      </c>
      <c r="E829" t="s">
        <v>631</v>
      </c>
      <c r="F829" t="s">
        <v>17</v>
      </c>
      <c r="G829" s="91">
        <v>172.712</v>
      </c>
      <c r="H829" s="91"/>
      <c r="I829" s="91">
        <v>9380</v>
      </c>
      <c r="J829" s="91">
        <v>1620038.56</v>
      </c>
    </row>
    <row r="830" spans="1:10">
      <c r="A830" t="s">
        <v>774</v>
      </c>
      <c r="B830" t="s">
        <v>775</v>
      </c>
      <c r="C830" t="s">
        <v>20</v>
      </c>
      <c r="D830" t="s">
        <v>47</v>
      </c>
      <c r="E830" t="s">
        <v>48</v>
      </c>
      <c r="F830" t="s">
        <v>49</v>
      </c>
      <c r="G830" s="91">
        <v>2681.82</v>
      </c>
      <c r="H830" s="91"/>
      <c r="I830" s="91">
        <v>75</v>
      </c>
      <c r="J830" s="91">
        <v>201136.5</v>
      </c>
    </row>
    <row r="831" spans="1:10">
      <c r="A831" t="s">
        <v>774</v>
      </c>
      <c r="B831" t="s">
        <v>775</v>
      </c>
      <c r="C831" t="s">
        <v>20</v>
      </c>
      <c r="D831" t="s">
        <v>624</v>
      </c>
      <c r="E831" t="s">
        <v>625</v>
      </c>
      <c r="F831" t="s">
        <v>23</v>
      </c>
      <c r="G831" s="91">
        <v>6704.55</v>
      </c>
      <c r="H831" s="91"/>
      <c r="I831" s="91">
        <v>0.8</v>
      </c>
      <c r="J831" s="91">
        <v>5363.64</v>
      </c>
    </row>
    <row r="832" spans="1:10">
      <c r="A832" t="s">
        <v>774</v>
      </c>
      <c r="B832" t="s">
        <v>775</v>
      </c>
      <c r="C832" t="s">
        <v>20</v>
      </c>
      <c r="D832" t="s">
        <v>624</v>
      </c>
      <c r="E832" t="s">
        <v>626</v>
      </c>
      <c r="F832" t="s">
        <v>23</v>
      </c>
      <c r="G832" s="91">
        <v>6704.55</v>
      </c>
      <c r="H832" s="91"/>
      <c r="I832" s="91">
        <v>0.900000745762206</v>
      </c>
      <c r="J832" s="91">
        <v>6034.1</v>
      </c>
    </row>
    <row r="833" spans="1:10">
      <c r="A833" t="s">
        <v>774</v>
      </c>
      <c r="B833" t="s">
        <v>775</v>
      </c>
      <c r="C833" t="s">
        <v>20</v>
      </c>
      <c r="D833" t="s">
        <v>624</v>
      </c>
      <c r="E833" t="s">
        <v>627</v>
      </c>
      <c r="F833" t="s">
        <v>23</v>
      </c>
      <c r="G833" s="91">
        <v>6704.55</v>
      </c>
      <c r="H833" s="91"/>
      <c r="I833" s="91">
        <v>3.10000074576221</v>
      </c>
      <c r="J833" s="91">
        <v>20784.11</v>
      </c>
    </row>
    <row r="834" spans="1:10">
      <c r="A834" t="s">
        <v>774</v>
      </c>
      <c r="B834" t="s">
        <v>775</v>
      </c>
      <c r="C834" t="s">
        <v>20</v>
      </c>
      <c r="D834" t="s">
        <v>624</v>
      </c>
      <c r="E834" t="s">
        <v>628</v>
      </c>
      <c r="F834" t="s">
        <v>23</v>
      </c>
      <c r="G834" s="91">
        <v>8380.688</v>
      </c>
      <c r="H834" s="91"/>
      <c r="I834" s="91">
        <v>3.09999966589855</v>
      </c>
      <c r="J834" s="91">
        <v>25980.13</v>
      </c>
    </row>
    <row r="835" spans="1:10">
      <c r="A835" t="s">
        <v>774</v>
      </c>
      <c r="B835" t="s">
        <v>775</v>
      </c>
      <c r="C835" t="s">
        <v>11</v>
      </c>
      <c r="D835" t="s">
        <v>630</v>
      </c>
      <c r="E835" t="s">
        <v>631</v>
      </c>
      <c r="F835" t="s">
        <v>17</v>
      </c>
      <c r="G835" s="91">
        <v>223.485</v>
      </c>
      <c r="H835" s="91"/>
      <c r="I835" s="91">
        <v>9380</v>
      </c>
      <c r="J835" s="91">
        <v>2096289.3</v>
      </c>
    </row>
    <row r="836" spans="1:10">
      <c r="A836" t="s">
        <v>776</v>
      </c>
      <c r="B836" t="s">
        <v>777</v>
      </c>
      <c r="C836" t="s">
        <v>20</v>
      </c>
      <c r="D836" t="s">
        <v>47</v>
      </c>
      <c r="E836" t="s">
        <v>48</v>
      </c>
      <c r="F836" t="s">
        <v>49</v>
      </c>
      <c r="G836" s="91">
        <v>2582.424</v>
      </c>
      <c r="H836" s="91"/>
      <c r="I836" s="91">
        <v>75</v>
      </c>
      <c r="J836" s="91">
        <v>193681.8</v>
      </c>
    </row>
    <row r="837" spans="1:10">
      <c r="A837" t="s">
        <v>776</v>
      </c>
      <c r="B837" t="s">
        <v>777</v>
      </c>
      <c r="C837" t="s">
        <v>20</v>
      </c>
      <c r="D837" t="s">
        <v>624</v>
      </c>
      <c r="E837" t="s">
        <v>625</v>
      </c>
      <c r="F837" t="s">
        <v>23</v>
      </c>
      <c r="G837" s="91">
        <v>6456.06</v>
      </c>
      <c r="H837" s="91"/>
      <c r="I837" s="91">
        <v>0.800000309786464</v>
      </c>
      <c r="J837" s="91">
        <v>5164.85</v>
      </c>
    </row>
    <row r="838" spans="1:10">
      <c r="A838" t="s">
        <v>776</v>
      </c>
      <c r="B838" t="s">
        <v>777</v>
      </c>
      <c r="C838" t="s">
        <v>20</v>
      </c>
      <c r="D838" t="s">
        <v>624</v>
      </c>
      <c r="E838" t="s">
        <v>626</v>
      </c>
      <c r="F838" t="s">
        <v>23</v>
      </c>
      <c r="G838" s="91">
        <v>6456.06</v>
      </c>
      <c r="H838" s="91"/>
      <c r="I838" s="91">
        <v>0.899999380427072</v>
      </c>
      <c r="J838" s="91">
        <v>5810.45</v>
      </c>
    </row>
    <row r="839" spans="1:10">
      <c r="A839" t="s">
        <v>776</v>
      </c>
      <c r="B839" t="s">
        <v>777</v>
      </c>
      <c r="C839" t="s">
        <v>20</v>
      </c>
      <c r="D839" t="s">
        <v>624</v>
      </c>
      <c r="E839" t="s">
        <v>627</v>
      </c>
      <c r="F839" t="s">
        <v>23</v>
      </c>
      <c r="G839" s="91">
        <v>6456.06</v>
      </c>
      <c r="H839" s="91"/>
      <c r="I839" s="91">
        <v>3.10000061957293</v>
      </c>
      <c r="J839" s="91">
        <v>20013.79</v>
      </c>
    </row>
    <row r="840" spans="1:10">
      <c r="A840" t="s">
        <v>776</v>
      </c>
      <c r="B840" t="s">
        <v>777</v>
      </c>
      <c r="C840" t="s">
        <v>20</v>
      </c>
      <c r="D840" t="s">
        <v>624</v>
      </c>
      <c r="E840" t="s">
        <v>628</v>
      </c>
      <c r="F840" t="s">
        <v>23</v>
      </c>
      <c r="G840" s="91">
        <v>8070.075</v>
      </c>
      <c r="H840" s="91"/>
      <c r="I840" s="91">
        <v>3.09999969021354</v>
      </c>
      <c r="J840" s="91">
        <v>25017.23</v>
      </c>
    </row>
    <row r="841" spans="1:10">
      <c r="A841" t="s">
        <v>776</v>
      </c>
      <c r="B841" t="s">
        <v>777</v>
      </c>
      <c r="C841" t="s">
        <v>11</v>
      </c>
      <c r="D841" t="s">
        <v>630</v>
      </c>
      <c r="E841" t="s">
        <v>631</v>
      </c>
      <c r="F841" t="s">
        <v>17</v>
      </c>
      <c r="G841" s="91">
        <v>215.202</v>
      </c>
      <c r="H841" s="91"/>
      <c r="I841" s="91">
        <v>9380</v>
      </c>
      <c r="J841" s="91">
        <v>2018594.76</v>
      </c>
    </row>
    <row r="842" spans="1:10">
      <c r="A842" t="s">
        <v>778</v>
      </c>
      <c r="B842" t="s">
        <v>779</v>
      </c>
      <c r="C842" t="s">
        <v>20</v>
      </c>
      <c r="D842" t="s">
        <v>47</v>
      </c>
      <c r="E842" t="s">
        <v>48</v>
      </c>
      <c r="F842" t="s">
        <v>49</v>
      </c>
      <c r="G842" s="91">
        <v>2485.752</v>
      </c>
      <c r="H842" s="91"/>
      <c r="I842" s="91">
        <v>75</v>
      </c>
      <c r="J842" s="91">
        <v>186431.4</v>
      </c>
    </row>
    <row r="843" spans="1:10">
      <c r="A843" t="s">
        <v>778</v>
      </c>
      <c r="B843" t="s">
        <v>779</v>
      </c>
      <c r="C843" t="s">
        <v>20</v>
      </c>
      <c r="D843" t="s">
        <v>624</v>
      </c>
      <c r="E843" t="s">
        <v>625</v>
      </c>
      <c r="F843" t="s">
        <v>23</v>
      </c>
      <c r="G843" s="91">
        <v>6214.38</v>
      </c>
      <c r="H843" s="91"/>
      <c r="I843" s="91">
        <v>0.799999356331605</v>
      </c>
      <c r="J843" s="91">
        <v>4971.5</v>
      </c>
    </row>
    <row r="844" spans="1:10">
      <c r="A844" t="s">
        <v>778</v>
      </c>
      <c r="B844" t="s">
        <v>779</v>
      </c>
      <c r="C844" t="s">
        <v>20</v>
      </c>
      <c r="D844" t="s">
        <v>624</v>
      </c>
      <c r="E844" t="s">
        <v>626</v>
      </c>
      <c r="F844" t="s">
        <v>23</v>
      </c>
      <c r="G844" s="91">
        <v>6214.38</v>
      </c>
      <c r="H844" s="91"/>
      <c r="I844" s="91">
        <v>0.899999678165803</v>
      </c>
      <c r="J844" s="91">
        <v>5592.94</v>
      </c>
    </row>
    <row r="845" spans="1:10">
      <c r="A845" t="s">
        <v>778</v>
      </c>
      <c r="B845" t="s">
        <v>779</v>
      </c>
      <c r="C845" t="s">
        <v>20</v>
      </c>
      <c r="D845" t="s">
        <v>624</v>
      </c>
      <c r="E845" t="s">
        <v>627</v>
      </c>
      <c r="F845" t="s">
        <v>23</v>
      </c>
      <c r="G845" s="91">
        <v>6214.38</v>
      </c>
      <c r="H845" s="91"/>
      <c r="I845" s="91">
        <v>3.1000003218342</v>
      </c>
      <c r="J845" s="91">
        <v>19264.58</v>
      </c>
    </row>
    <row r="846" spans="1:10">
      <c r="A846" t="s">
        <v>778</v>
      </c>
      <c r="B846" t="s">
        <v>779</v>
      </c>
      <c r="C846" t="s">
        <v>20</v>
      </c>
      <c r="D846" t="s">
        <v>624</v>
      </c>
      <c r="E846" t="s">
        <v>628</v>
      </c>
      <c r="F846" t="s">
        <v>23</v>
      </c>
      <c r="G846" s="91">
        <v>7767.975</v>
      </c>
      <c r="H846" s="91"/>
      <c r="I846" s="91">
        <v>3.0999996781658</v>
      </c>
      <c r="J846" s="91">
        <v>24080.72</v>
      </c>
    </row>
    <row r="847" spans="1:10">
      <c r="A847" t="s">
        <v>778</v>
      </c>
      <c r="B847" t="s">
        <v>779</v>
      </c>
      <c r="C847" t="s">
        <v>11</v>
      </c>
      <c r="D847" t="s">
        <v>630</v>
      </c>
      <c r="E847" t="s">
        <v>631</v>
      </c>
      <c r="F847" t="s">
        <v>17</v>
      </c>
      <c r="G847" s="91">
        <v>207.146</v>
      </c>
      <c r="H847" s="91"/>
      <c r="I847" s="91">
        <v>9380</v>
      </c>
      <c r="J847" s="91">
        <v>1943029.48</v>
      </c>
    </row>
    <row r="848" spans="1:10">
      <c r="A848" t="s">
        <v>780</v>
      </c>
      <c r="B848" t="s">
        <v>781</v>
      </c>
      <c r="C848" t="s">
        <v>20</v>
      </c>
      <c r="D848" t="s">
        <v>47</v>
      </c>
      <c r="E848" t="s">
        <v>48</v>
      </c>
      <c r="F848" t="s">
        <v>49</v>
      </c>
      <c r="G848" s="91">
        <v>2389.068</v>
      </c>
      <c r="H848" s="91"/>
      <c r="I848" s="91">
        <v>75</v>
      </c>
      <c r="J848" s="91">
        <v>179180.1</v>
      </c>
    </row>
    <row r="849" spans="1:10">
      <c r="A849" t="s">
        <v>780</v>
      </c>
      <c r="B849" t="s">
        <v>781</v>
      </c>
      <c r="C849" t="s">
        <v>20</v>
      </c>
      <c r="D849" t="s">
        <v>624</v>
      </c>
      <c r="E849" t="s">
        <v>625</v>
      </c>
      <c r="F849" t="s">
        <v>23</v>
      </c>
      <c r="G849" s="91">
        <v>5972.67</v>
      </c>
      <c r="H849" s="91"/>
      <c r="I849" s="91">
        <v>0.800000669717229</v>
      </c>
      <c r="J849" s="91">
        <v>4778.14</v>
      </c>
    </row>
    <row r="850" spans="1:10">
      <c r="A850" t="s">
        <v>780</v>
      </c>
      <c r="B850" t="s">
        <v>781</v>
      </c>
      <c r="C850" t="s">
        <v>20</v>
      </c>
      <c r="D850" t="s">
        <v>624</v>
      </c>
      <c r="E850" t="s">
        <v>626</v>
      </c>
      <c r="F850" t="s">
        <v>23</v>
      </c>
      <c r="G850" s="91">
        <v>5972.67</v>
      </c>
      <c r="H850" s="91"/>
      <c r="I850" s="91">
        <v>0.899999497712078</v>
      </c>
      <c r="J850" s="91">
        <v>5375.4</v>
      </c>
    </row>
    <row r="851" spans="1:10">
      <c r="A851" t="s">
        <v>780</v>
      </c>
      <c r="B851" t="s">
        <v>781</v>
      </c>
      <c r="C851" t="s">
        <v>20</v>
      </c>
      <c r="D851" t="s">
        <v>624</v>
      </c>
      <c r="E851" t="s">
        <v>627</v>
      </c>
      <c r="F851" t="s">
        <v>23</v>
      </c>
      <c r="G851" s="91">
        <v>5972.67</v>
      </c>
      <c r="H851" s="91"/>
      <c r="I851" s="91">
        <v>3.10000050228792</v>
      </c>
      <c r="J851" s="91">
        <v>18515.28</v>
      </c>
    </row>
    <row r="852" spans="1:10">
      <c r="A852" t="s">
        <v>780</v>
      </c>
      <c r="B852" t="s">
        <v>781</v>
      </c>
      <c r="C852" t="s">
        <v>20</v>
      </c>
      <c r="D852" t="s">
        <v>624</v>
      </c>
      <c r="E852" t="s">
        <v>628</v>
      </c>
      <c r="F852" t="s">
        <v>23</v>
      </c>
      <c r="G852" s="91">
        <v>7465.837</v>
      </c>
      <c r="H852" s="91"/>
      <c r="I852" s="91">
        <v>3.09999937046576</v>
      </c>
      <c r="J852" s="91">
        <v>23144.09</v>
      </c>
    </row>
    <row r="853" spans="1:10">
      <c r="A853" t="s">
        <v>780</v>
      </c>
      <c r="B853" t="s">
        <v>781</v>
      </c>
      <c r="C853" t="s">
        <v>11</v>
      </c>
      <c r="D853" t="s">
        <v>630</v>
      </c>
      <c r="E853" t="s">
        <v>631</v>
      </c>
      <c r="F853" t="s">
        <v>17</v>
      </c>
      <c r="G853" s="91">
        <v>199.089</v>
      </c>
      <c r="H853" s="91"/>
      <c r="I853" s="91">
        <v>9380</v>
      </c>
      <c r="J853" s="91">
        <v>1867454.82</v>
      </c>
    </row>
    <row r="854" spans="1:10">
      <c r="A854" t="s">
        <v>782</v>
      </c>
      <c r="B854" t="s">
        <v>783</v>
      </c>
      <c r="C854" t="s">
        <v>20</v>
      </c>
      <c r="D854" t="s">
        <v>47</v>
      </c>
      <c r="E854" t="s">
        <v>48</v>
      </c>
      <c r="F854" t="s">
        <v>49</v>
      </c>
      <c r="G854" s="91">
        <v>2292.384</v>
      </c>
      <c r="H854" s="91"/>
      <c r="I854" s="91">
        <v>75</v>
      </c>
      <c r="J854" s="91">
        <v>171928.8</v>
      </c>
    </row>
    <row r="855" spans="1:10">
      <c r="A855" t="s">
        <v>782</v>
      </c>
      <c r="B855" t="s">
        <v>783</v>
      </c>
      <c r="C855" t="s">
        <v>20</v>
      </c>
      <c r="D855" t="s">
        <v>624</v>
      </c>
      <c r="E855" t="s">
        <v>625</v>
      </c>
      <c r="F855" t="s">
        <v>23</v>
      </c>
      <c r="G855" s="91">
        <v>5730.96</v>
      </c>
      <c r="H855" s="91"/>
      <c r="I855" s="91">
        <v>0.800000348981672</v>
      </c>
      <c r="J855" s="91">
        <v>4584.77</v>
      </c>
    </row>
    <row r="856" spans="1:10">
      <c r="A856" t="s">
        <v>782</v>
      </c>
      <c r="B856" t="s">
        <v>783</v>
      </c>
      <c r="C856" t="s">
        <v>20</v>
      </c>
      <c r="D856" t="s">
        <v>624</v>
      </c>
      <c r="E856" t="s">
        <v>626</v>
      </c>
      <c r="F856" t="s">
        <v>23</v>
      </c>
      <c r="G856" s="91">
        <v>5730.96</v>
      </c>
      <c r="H856" s="91"/>
      <c r="I856" s="91">
        <v>0.899999302036657</v>
      </c>
      <c r="J856" s="91">
        <v>5157.86</v>
      </c>
    </row>
    <row r="857" spans="1:10">
      <c r="A857" t="s">
        <v>782</v>
      </c>
      <c r="B857" t="s">
        <v>783</v>
      </c>
      <c r="C857" t="s">
        <v>20</v>
      </c>
      <c r="D857" t="s">
        <v>624</v>
      </c>
      <c r="E857" t="s">
        <v>627</v>
      </c>
      <c r="F857" t="s">
        <v>23</v>
      </c>
      <c r="G857" s="91">
        <v>5730.96</v>
      </c>
      <c r="H857" s="91"/>
      <c r="I857" s="91">
        <v>3.10000069796334</v>
      </c>
      <c r="J857" s="91">
        <v>17765.98</v>
      </c>
    </row>
    <row r="858" spans="1:10">
      <c r="A858" t="s">
        <v>782</v>
      </c>
      <c r="B858" t="s">
        <v>783</v>
      </c>
      <c r="C858" t="s">
        <v>20</v>
      </c>
      <c r="D858" t="s">
        <v>624</v>
      </c>
      <c r="E858" t="s">
        <v>628</v>
      </c>
      <c r="F858" t="s">
        <v>23</v>
      </c>
      <c r="G858" s="91">
        <v>7163.7</v>
      </c>
      <c r="H858" s="91"/>
      <c r="I858" s="91">
        <v>3.1</v>
      </c>
      <c r="J858" s="91">
        <v>22207.47</v>
      </c>
    </row>
    <row r="859" spans="1:10">
      <c r="A859" t="s">
        <v>782</v>
      </c>
      <c r="B859" t="s">
        <v>783</v>
      </c>
      <c r="C859" t="s">
        <v>11</v>
      </c>
      <c r="D859" t="s">
        <v>630</v>
      </c>
      <c r="E859" t="s">
        <v>631</v>
      </c>
      <c r="F859" t="s">
        <v>17</v>
      </c>
      <c r="G859" s="91">
        <v>191.032</v>
      </c>
      <c r="H859" s="91"/>
      <c r="I859" s="91">
        <v>9380</v>
      </c>
      <c r="J859" s="91">
        <v>1791880.16</v>
      </c>
    </row>
    <row r="860" spans="1:10">
      <c r="A860" t="s">
        <v>784</v>
      </c>
      <c r="B860" t="s">
        <v>785</v>
      </c>
      <c r="C860" t="s">
        <v>20</v>
      </c>
      <c r="D860" t="s">
        <v>47</v>
      </c>
      <c r="E860" t="s">
        <v>48</v>
      </c>
      <c r="F860" t="s">
        <v>49</v>
      </c>
      <c r="G860" s="91">
        <v>2198.412</v>
      </c>
      <c r="H860" s="91"/>
      <c r="I860" s="91">
        <v>75</v>
      </c>
      <c r="J860" s="91">
        <v>164880.9</v>
      </c>
    </row>
    <row r="861" spans="1:10">
      <c r="A861" t="s">
        <v>784</v>
      </c>
      <c r="B861" t="s">
        <v>785</v>
      </c>
      <c r="C861" t="s">
        <v>20</v>
      </c>
      <c r="D861" t="s">
        <v>624</v>
      </c>
      <c r="E861" t="s">
        <v>625</v>
      </c>
      <c r="F861" t="s">
        <v>23</v>
      </c>
      <c r="G861" s="91">
        <v>5496.03</v>
      </c>
      <c r="H861" s="91"/>
      <c r="I861" s="91">
        <v>0.799999272201935</v>
      </c>
      <c r="J861" s="91">
        <v>4396.82</v>
      </c>
    </row>
    <row r="862" spans="1:10">
      <c r="A862" t="s">
        <v>784</v>
      </c>
      <c r="B862" t="s">
        <v>785</v>
      </c>
      <c r="C862" t="s">
        <v>20</v>
      </c>
      <c r="D862" t="s">
        <v>624</v>
      </c>
      <c r="E862" t="s">
        <v>626</v>
      </c>
      <c r="F862" t="s">
        <v>23</v>
      </c>
      <c r="G862" s="91">
        <v>5496.03</v>
      </c>
      <c r="H862" s="91"/>
      <c r="I862" s="91">
        <v>0.900000545848549</v>
      </c>
      <c r="J862" s="91">
        <v>4946.43</v>
      </c>
    </row>
    <row r="863" spans="1:10">
      <c r="A863" t="s">
        <v>784</v>
      </c>
      <c r="B863" t="s">
        <v>785</v>
      </c>
      <c r="C863" t="s">
        <v>20</v>
      </c>
      <c r="D863" t="s">
        <v>624</v>
      </c>
      <c r="E863" t="s">
        <v>627</v>
      </c>
      <c r="F863" t="s">
        <v>23</v>
      </c>
      <c r="G863" s="91">
        <v>5496.03</v>
      </c>
      <c r="H863" s="91"/>
      <c r="I863" s="91">
        <v>3.09999945415145</v>
      </c>
      <c r="J863" s="91">
        <v>17037.69</v>
      </c>
    </row>
    <row r="864" spans="1:10">
      <c r="A864" t="s">
        <v>784</v>
      </c>
      <c r="B864" t="s">
        <v>785</v>
      </c>
      <c r="C864" t="s">
        <v>20</v>
      </c>
      <c r="D864" t="s">
        <v>624</v>
      </c>
      <c r="E864" t="s">
        <v>628</v>
      </c>
      <c r="F864" t="s">
        <v>23</v>
      </c>
      <c r="G864" s="91">
        <v>6870.037</v>
      </c>
      <c r="H864" s="91"/>
      <c r="I864" s="91">
        <v>3.09999931586977</v>
      </c>
      <c r="J864" s="91">
        <v>21297.11</v>
      </c>
    </row>
    <row r="865" spans="1:10">
      <c r="A865" t="s">
        <v>784</v>
      </c>
      <c r="B865" t="s">
        <v>785</v>
      </c>
      <c r="C865" t="s">
        <v>11</v>
      </c>
      <c r="D865" t="s">
        <v>630</v>
      </c>
      <c r="E865" t="s">
        <v>631</v>
      </c>
      <c r="F865" t="s">
        <v>17</v>
      </c>
      <c r="G865" s="91">
        <v>183.201</v>
      </c>
      <c r="H865" s="91"/>
      <c r="I865" s="91">
        <v>9380</v>
      </c>
      <c r="J865" s="91">
        <v>1718425.38</v>
      </c>
    </row>
    <row r="866" spans="1:10">
      <c r="A866" t="s">
        <v>786</v>
      </c>
      <c r="B866" t="s">
        <v>787</v>
      </c>
      <c r="C866" t="s">
        <v>20</v>
      </c>
      <c r="D866" t="s">
        <v>47</v>
      </c>
      <c r="E866" t="s">
        <v>48</v>
      </c>
      <c r="F866" t="s">
        <v>49</v>
      </c>
      <c r="G866" s="91">
        <v>969.168</v>
      </c>
      <c r="H866" s="91"/>
      <c r="I866" s="91">
        <v>75</v>
      </c>
      <c r="J866" s="91">
        <v>72687.6</v>
      </c>
    </row>
    <row r="867" spans="1:10">
      <c r="A867" t="s">
        <v>786</v>
      </c>
      <c r="B867" t="s">
        <v>787</v>
      </c>
      <c r="C867" t="s">
        <v>20</v>
      </c>
      <c r="D867" t="s">
        <v>624</v>
      </c>
      <c r="E867" t="s">
        <v>625</v>
      </c>
      <c r="F867" t="s">
        <v>23</v>
      </c>
      <c r="G867" s="91">
        <v>2422.92</v>
      </c>
      <c r="H867" s="91"/>
      <c r="I867" s="91">
        <v>0.800001650900566</v>
      </c>
      <c r="J867" s="91">
        <v>1938.34</v>
      </c>
    </row>
    <row r="868" spans="1:10">
      <c r="A868" t="s">
        <v>786</v>
      </c>
      <c r="B868" t="s">
        <v>787</v>
      </c>
      <c r="C868" t="s">
        <v>20</v>
      </c>
      <c r="D868" t="s">
        <v>624</v>
      </c>
      <c r="E868" t="s">
        <v>626</v>
      </c>
      <c r="F868" t="s">
        <v>23</v>
      </c>
      <c r="G868" s="91">
        <v>2422.92</v>
      </c>
      <c r="H868" s="91"/>
      <c r="I868" s="91">
        <v>0.900000825450283</v>
      </c>
      <c r="J868" s="91">
        <v>2180.63</v>
      </c>
    </row>
    <row r="869" spans="1:10">
      <c r="A869" t="s">
        <v>786</v>
      </c>
      <c r="B869" t="s">
        <v>787</v>
      </c>
      <c r="C869" t="s">
        <v>20</v>
      </c>
      <c r="D869" t="s">
        <v>624</v>
      </c>
      <c r="E869" t="s">
        <v>627</v>
      </c>
      <c r="F869" t="s">
        <v>23</v>
      </c>
      <c r="G869" s="91">
        <v>2422.92</v>
      </c>
      <c r="H869" s="91"/>
      <c r="I869" s="91">
        <v>3.09999917454972</v>
      </c>
      <c r="J869" s="91">
        <v>7511.05</v>
      </c>
    </row>
    <row r="870" spans="1:10">
      <c r="A870" t="s">
        <v>786</v>
      </c>
      <c r="B870" t="s">
        <v>787</v>
      </c>
      <c r="C870" t="s">
        <v>20</v>
      </c>
      <c r="D870" t="s">
        <v>624</v>
      </c>
      <c r="E870" t="s">
        <v>628</v>
      </c>
      <c r="F870" t="s">
        <v>23</v>
      </c>
      <c r="G870" s="91">
        <v>3028.65</v>
      </c>
      <c r="H870" s="91"/>
      <c r="I870" s="91">
        <v>3.10000165090057</v>
      </c>
      <c r="J870" s="91">
        <v>9388.82</v>
      </c>
    </row>
    <row r="871" spans="1:10">
      <c r="A871" t="s">
        <v>786</v>
      </c>
      <c r="B871" t="s">
        <v>787</v>
      </c>
      <c r="C871" t="s">
        <v>11</v>
      </c>
      <c r="D871" t="s">
        <v>630</v>
      </c>
      <c r="E871" t="s">
        <v>631</v>
      </c>
      <c r="F871" t="s">
        <v>17</v>
      </c>
      <c r="G871" s="91">
        <v>80.764</v>
      </c>
      <c r="H871" s="91"/>
      <c r="I871" s="91">
        <v>9380</v>
      </c>
      <c r="J871" s="91">
        <v>757566.32</v>
      </c>
    </row>
    <row r="872" spans="1:10">
      <c r="A872" t="s">
        <v>788</v>
      </c>
      <c r="B872" t="s">
        <v>789</v>
      </c>
      <c r="C872" t="s">
        <v>20</v>
      </c>
      <c r="D872" t="s">
        <v>47</v>
      </c>
      <c r="E872" t="s">
        <v>48</v>
      </c>
      <c r="F872" t="s">
        <v>49</v>
      </c>
      <c r="G872" s="91">
        <v>2099.016</v>
      </c>
      <c r="H872" s="91"/>
      <c r="I872" s="91">
        <v>75</v>
      </c>
      <c r="J872" s="91">
        <v>157426.2</v>
      </c>
    </row>
    <row r="873" spans="1:10">
      <c r="A873" t="s">
        <v>788</v>
      </c>
      <c r="B873" t="s">
        <v>789</v>
      </c>
      <c r="C873" t="s">
        <v>20</v>
      </c>
      <c r="D873" t="s">
        <v>624</v>
      </c>
      <c r="E873" t="s">
        <v>625</v>
      </c>
      <c r="F873" t="s">
        <v>23</v>
      </c>
      <c r="G873" s="91">
        <v>5247.54</v>
      </c>
      <c r="H873" s="91"/>
      <c r="I873" s="91">
        <v>0.799999618869032</v>
      </c>
      <c r="J873" s="91">
        <v>4198.03</v>
      </c>
    </row>
    <row r="874" spans="1:10">
      <c r="A874" t="s">
        <v>788</v>
      </c>
      <c r="B874" t="s">
        <v>789</v>
      </c>
      <c r="C874" t="s">
        <v>20</v>
      </c>
      <c r="D874" t="s">
        <v>624</v>
      </c>
      <c r="E874" t="s">
        <v>626</v>
      </c>
      <c r="F874" t="s">
        <v>23</v>
      </c>
      <c r="G874" s="91">
        <v>5247.54</v>
      </c>
      <c r="H874" s="91"/>
      <c r="I874" s="91">
        <v>0.900000762261936</v>
      </c>
      <c r="J874" s="91">
        <v>4722.79</v>
      </c>
    </row>
    <row r="875" spans="1:10">
      <c r="A875" t="s">
        <v>788</v>
      </c>
      <c r="B875" t="s">
        <v>789</v>
      </c>
      <c r="C875" t="s">
        <v>20</v>
      </c>
      <c r="D875" t="s">
        <v>624</v>
      </c>
      <c r="E875" t="s">
        <v>627</v>
      </c>
      <c r="F875" t="s">
        <v>23</v>
      </c>
      <c r="G875" s="91">
        <v>5247.54</v>
      </c>
      <c r="H875" s="91"/>
      <c r="I875" s="91">
        <v>3.09999923773806</v>
      </c>
      <c r="J875" s="91">
        <v>16267.37</v>
      </c>
    </row>
    <row r="876" spans="1:10">
      <c r="A876" t="s">
        <v>788</v>
      </c>
      <c r="B876" t="s">
        <v>789</v>
      </c>
      <c r="C876" t="s">
        <v>20</v>
      </c>
      <c r="D876" t="s">
        <v>624</v>
      </c>
      <c r="E876" t="s">
        <v>628</v>
      </c>
      <c r="F876" t="s">
        <v>23</v>
      </c>
      <c r="G876" s="91">
        <v>6559.425</v>
      </c>
      <c r="H876" s="91"/>
      <c r="I876" s="91">
        <v>3.10000038113097</v>
      </c>
      <c r="J876" s="91">
        <v>20334.22</v>
      </c>
    </row>
    <row r="877" spans="1:10">
      <c r="A877" t="s">
        <v>788</v>
      </c>
      <c r="B877" t="s">
        <v>789</v>
      </c>
      <c r="C877" t="s">
        <v>11</v>
      </c>
      <c r="D877" t="s">
        <v>630</v>
      </c>
      <c r="E877" t="s">
        <v>631</v>
      </c>
      <c r="F877" t="s">
        <v>17</v>
      </c>
      <c r="G877" s="91">
        <v>174.918</v>
      </c>
      <c r="H877" s="91"/>
      <c r="I877" s="91">
        <v>9380</v>
      </c>
      <c r="J877" s="91">
        <v>1640730.84</v>
      </c>
    </row>
    <row r="878" spans="1:10">
      <c r="A878" t="s">
        <v>790</v>
      </c>
      <c r="B878" t="s">
        <v>791</v>
      </c>
      <c r="C878" t="s">
        <v>11</v>
      </c>
      <c r="D878" t="s">
        <v>634</v>
      </c>
      <c r="E878" t="s">
        <v>635</v>
      </c>
      <c r="F878" t="s">
        <v>23</v>
      </c>
      <c r="G878" s="91">
        <v>8876.444</v>
      </c>
      <c r="H878" s="91"/>
      <c r="I878" s="91">
        <v>15.9999995493691</v>
      </c>
      <c r="J878" s="91">
        <v>142023.1</v>
      </c>
    </row>
    <row r="879" spans="1:10">
      <c r="A879" t="s">
        <v>790</v>
      </c>
      <c r="B879" t="s">
        <v>791</v>
      </c>
      <c r="C879" t="s">
        <v>20</v>
      </c>
      <c r="D879" t="s">
        <v>636</v>
      </c>
      <c r="E879" t="s">
        <v>637</v>
      </c>
      <c r="F879" t="s">
        <v>23</v>
      </c>
      <c r="G879" s="91">
        <v>4438.222</v>
      </c>
      <c r="H879" s="91"/>
      <c r="I879" s="91">
        <v>40</v>
      </c>
      <c r="J879" s="91">
        <v>177528.88</v>
      </c>
    </row>
    <row r="880" spans="1:10">
      <c r="A880" t="s">
        <v>792</v>
      </c>
      <c r="B880" t="s">
        <v>793</v>
      </c>
      <c r="C880" t="s">
        <v>11</v>
      </c>
      <c r="D880" t="s">
        <v>634</v>
      </c>
      <c r="E880" t="s">
        <v>640</v>
      </c>
      <c r="F880" t="s">
        <v>23</v>
      </c>
      <c r="G880" s="91">
        <v>4439.11</v>
      </c>
      <c r="H880" s="91"/>
      <c r="I880" s="91">
        <v>17</v>
      </c>
      <c r="J880" s="91">
        <v>75464.87</v>
      </c>
    </row>
    <row r="881" spans="1:10">
      <c r="A881" t="s">
        <v>792</v>
      </c>
      <c r="B881" t="s">
        <v>793</v>
      </c>
      <c r="C881" t="s">
        <v>20</v>
      </c>
      <c r="D881" t="s">
        <v>636</v>
      </c>
      <c r="E881" t="s">
        <v>641</v>
      </c>
      <c r="F881" t="s">
        <v>23</v>
      </c>
      <c r="G881" s="91">
        <v>2219.555</v>
      </c>
      <c r="H881" s="91"/>
      <c r="I881" s="91">
        <v>59.0000022527038</v>
      </c>
      <c r="J881" s="91">
        <v>130953.75</v>
      </c>
    </row>
    <row r="882" spans="1:10">
      <c r="A882" t="s">
        <v>794</v>
      </c>
      <c r="B882" t="s">
        <v>795</v>
      </c>
      <c r="C882" t="s">
        <v>11</v>
      </c>
      <c r="D882" t="s">
        <v>634</v>
      </c>
      <c r="E882" t="s">
        <v>650</v>
      </c>
      <c r="F882" t="s">
        <v>23</v>
      </c>
      <c r="G882" s="91">
        <v>1776</v>
      </c>
      <c r="H882" s="91"/>
      <c r="I882" s="91">
        <v>18</v>
      </c>
      <c r="J882" s="91">
        <v>31968</v>
      </c>
    </row>
    <row r="883" spans="1:10">
      <c r="A883" t="s">
        <v>794</v>
      </c>
      <c r="B883" t="s">
        <v>795</v>
      </c>
      <c r="C883" t="s">
        <v>20</v>
      </c>
      <c r="D883" t="s">
        <v>636</v>
      </c>
      <c r="E883" t="s">
        <v>644</v>
      </c>
      <c r="F883" t="s">
        <v>23</v>
      </c>
      <c r="G883" s="91">
        <v>888</v>
      </c>
      <c r="H883" s="91"/>
      <c r="I883" s="91">
        <v>103</v>
      </c>
      <c r="J883" s="91">
        <v>91464</v>
      </c>
    </row>
    <row r="884" spans="1:10">
      <c r="A884" t="s">
        <v>796</v>
      </c>
      <c r="B884" t="s">
        <v>797</v>
      </c>
      <c r="C884" t="s">
        <v>11</v>
      </c>
      <c r="D884" t="s">
        <v>634</v>
      </c>
      <c r="E884" t="s">
        <v>635</v>
      </c>
      <c r="F884" t="s">
        <v>23</v>
      </c>
      <c r="G884" s="91">
        <v>888.888</v>
      </c>
      <c r="H884" s="91"/>
      <c r="I884" s="91">
        <v>16.0000022500022</v>
      </c>
      <c r="J884" s="91">
        <v>14222.21</v>
      </c>
    </row>
    <row r="885" spans="1:10">
      <c r="A885" t="s">
        <v>796</v>
      </c>
      <c r="B885" t="s">
        <v>797</v>
      </c>
      <c r="C885" t="s">
        <v>11</v>
      </c>
      <c r="D885" t="s">
        <v>634</v>
      </c>
      <c r="E885" t="s">
        <v>640</v>
      </c>
      <c r="F885" t="s">
        <v>23</v>
      </c>
      <c r="G885" s="91">
        <v>888.888</v>
      </c>
      <c r="H885" s="91"/>
      <c r="I885" s="91">
        <v>17.0000045000045</v>
      </c>
      <c r="J885" s="91">
        <v>15111.1</v>
      </c>
    </row>
    <row r="886" spans="1:10">
      <c r="A886" t="s">
        <v>796</v>
      </c>
      <c r="B886" t="s">
        <v>797</v>
      </c>
      <c r="C886" t="s">
        <v>20</v>
      </c>
      <c r="D886" t="s">
        <v>636</v>
      </c>
      <c r="E886" t="s">
        <v>647</v>
      </c>
      <c r="F886" t="s">
        <v>23</v>
      </c>
      <c r="G886" s="91">
        <v>444.444</v>
      </c>
      <c r="H886" s="91"/>
      <c r="I886" s="91">
        <v>62.9999954999955</v>
      </c>
      <c r="J886" s="91">
        <v>27999.97</v>
      </c>
    </row>
    <row r="887" spans="1:10">
      <c r="A887" t="s">
        <v>798</v>
      </c>
      <c r="B887" t="s">
        <v>799</v>
      </c>
      <c r="C887" t="s">
        <v>11</v>
      </c>
      <c r="D887" t="s">
        <v>634</v>
      </c>
      <c r="E887" t="s">
        <v>640</v>
      </c>
      <c r="F887" t="s">
        <v>23</v>
      </c>
      <c r="G887" s="91">
        <v>888.888</v>
      </c>
      <c r="H887" s="91"/>
      <c r="I887" s="91">
        <v>17.0000045000045</v>
      </c>
      <c r="J887" s="91">
        <v>15111.1</v>
      </c>
    </row>
    <row r="888" spans="1:10">
      <c r="A888" t="s">
        <v>798</v>
      </c>
      <c r="B888" t="s">
        <v>799</v>
      </c>
      <c r="C888" t="s">
        <v>11</v>
      </c>
      <c r="D888" t="s">
        <v>634</v>
      </c>
      <c r="E888" t="s">
        <v>650</v>
      </c>
      <c r="F888" t="s">
        <v>23</v>
      </c>
      <c r="G888" s="91">
        <v>888.888</v>
      </c>
      <c r="H888" s="91"/>
      <c r="I888" s="91">
        <v>17.9999954999955</v>
      </c>
      <c r="J888" s="91">
        <v>15999.98</v>
      </c>
    </row>
    <row r="889" spans="1:10">
      <c r="A889" t="s">
        <v>798</v>
      </c>
      <c r="B889" t="s">
        <v>799</v>
      </c>
      <c r="C889" t="s">
        <v>20</v>
      </c>
      <c r="D889" t="s">
        <v>636</v>
      </c>
      <c r="E889" t="s">
        <v>651</v>
      </c>
      <c r="F889" t="s">
        <v>23</v>
      </c>
      <c r="G889" s="91">
        <v>444.444</v>
      </c>
      <c r="H889" s="91"/>
      <c r="I889" s="91">
        <v>107.999995499995</v>
      </c>
      <c r="J889" s="91">
        <v>47999.95</v>
      </c>
    </row>
    <row r="890" spans="1:10">
      <c r="A890" t="s">
        <v>800</v>
      </c>
      <c r="B890" t="s">
        <v>801</v>
      </c>
      <c r="C890" t="s">
        <v>11</v>
      </c>
      <c r="D890" t="s">
        <v>634</v>
      </c>
      <c r="E890" t="s">
        <v>635</v>
      </c>
      <c r="F890" t="s">
        <v>23</v>
      </c>
      <c r="G890" s="91">
        <v>888.888</v>
      </c>
      <c r="H890" s="91"/>
      <c r="I890" s="91">
        <v>16.0000022500022</v>
      </c>
      <c r="J890" s="91">
        <v>14222.21</v>
      </c>
    </row>
    <row r="891" spans="1:10">
      <c r="A891" t="s">
        <v>800</v>
      </c>
      <c r="B891" t="s">
        <v>801</v>
      </c>
      <c r="C891" t="s">
        <v>11</v>
      </c>
      <c r="D891" t="s">
        <v>634</v>
      </c>
      <c r="E891" t="s">
        <v>650</v>
      </c>
      <c r="F891" t="s">
        <v>23</v>
      </c>
      <c r="G891" s="91">
        <v>888.888</v>
      </c>
      <c r="H891" s="91"/>
      <c r="I891" s="91">
        <v>17.9999954999955</v>
      </c>
      <c r="J891" s="91">
        <v>15999.98</v>
      </c>
    </row>
    <row r="892" spans="1:10">
      <c r="A892" t="s">
        <v>800</v>
      </c>
      <c r="B892" t="s">
        <v>801</v>
      </c>
      <c r="C892" t="s">
        <v>20</v>
      </c>
      <c r="D892" t="s">
        <v>636</v>
      </c>
      <c r="E892" t="s">
        <v>654</v>
      </c>
      <c r="F892" t="s">
        <v>23</v>
      </c>
      <c r="G892" s="91">
        <v>444.444</v>
      </c>
      <c r="H892" s="91"/>
      <c r="I892" s="91">
        <v>109.000009000009</v>
      </c>
      <c r="J892" s="91">
        <v>48444.4</v>
      </c>
    </row>
    <row r="893" spans="1:10">
      <c r="A893" t="s">
        <v>802</v>
      </c>
      <c r="B893" t="s">
        <v>803</v>
      </c>
      <c r="C893" t="s">
        <v>11</v>
      </c>
      <c r="D893" t="s">
        <v>12</v>
      </c>
      <c r="E893" t="s">
        <v>13</v>
      </c>
      <c r="F893" t="s">
        <v>14</v>
      </c>
      <c r="G893" s="91">
        <v>48</v>
      </c>
      <c r="H893" s="91"/>
      <c r="I893" s="91">
        <v>450</v>
      </c>
      <c r="J893" s="91">
        <v>21600</v>
      </c>
    </row>
    <row r="894" spans="1:10">
      <c r="A894" t="s">
        <v>802</v>
      </c>
      <c r="B894" t="s">
        <v>803</v>
      </c>
      <c r="C894" t="s">
        <v>11</v>
      </c>
      <c r="D894" t="s">
        <v>12</v>
      </c>
      <c r="E894" t="s">
        <v>15</v>
      </c>
      <c r="F894" t="s">
        <v>14</v>
      </c>
      <c r="G894" s="91">
        <v>7.5</v>
      </c>
      <c r="H894" s="91"/>
      <c r="I894" s="91">
        <v>600</v>
      </c>
      <c r="J894" s="91">
        <v>4500</v>
      </c>
    </row>
    <row r="895" spans="1:10">
      <c r="A895" t="s">
        <v>802</v>
      </c>
      <c r="B895" t="s">
        <v>803</v>
      </c>
      <c r="C895" t="s">
        <v>11</v>
      </c>
      <c r="D895" t="s">
        <v>12</v>
      </c>
      <c r="E895" t="s">
        <v>28</v>
      </c>
      <c r="F895" t="s">
        <v>14</v>
      </c>
      <c r="G895" s="91">
        <v>2.25</v>
      </c>
      <c r="H895" s="91"/>
      <c r="I895" s="91">
        <v>600</v>
      </c>
      <c r="J895" s="91">
        <v>1350</v>
      </c>
    </row>
    <row r="896" spans="1:10">
      <c r="A896" t="s">
        <v>802</v>
      </c>
      <c r="B896" t="s">
        <v>803</v>
      </c>
      <c r="C896" t="s">
        <v>20</v>
      </c>
      <c r="D896" t="s">
        <v>106</v>
      </c>
      <c r="E896" t="s">
        <v>107</v>
      </c>
      <c r="F896" t="s">
        <v>108</v>
      </c>
      <c r="G896" s="91">
        <v>153</v>
      </c>
      <c r="H896" s="91"/>
      <c r="I896" s="91">
        <v>3362</v>
      </c>
      <c r="J896" s="91">
        <v>514386</v>
      </c>
    </row>
    <row r="897" spans="1:10">
      <c r="A897" t="s">
        <v>804</v>
      </c>
      <c r="B897" t="s">
        <v>805</v>
      </c>
      <c r="C897" t="s">
        <v>11</v>
      </c>
      <c r="D897" t="s">
        <v>24</v>
      </c>
      <c r="E897" t="s">
        <v>604</v>
      </c>
      <c r="F897" t="s">
        <v>34</v>
      </c>
      <c r="G897" s="91">
        <v>4054.761</v>
      </c>
      <c r="H897" s="91"/>
      <c r="I897" s="91">
        <v>50</v>
      </c>
      <c r="J897" s="91">
        <v>202738.05</v>
      </c>
    </row>
    <row r="898" spans="1:10">
      <c r="A898" t="s">
        <v>804</v>
      </c>
      <c r="B898" t="s">
        <v>805</v>
      </c>
      <c r="C898" t="s">
        <v>11</v>
      </c>
      <c r="D898" t="s">
        <v>24</v>
      </c>
      <c r="E898" t="s">
        <v>605</v>
      </c>
      <c r="F898" t="s">
        <v>34</v>
      </c>
      <c r="G898" s="91">
        <v>828.388</v>
      </c>
      <c r="H898" s="91"/>
      <c r="I898" s="91">
        <v>80</v>
      </c>
      <c r="J898" s="91">
        <v>66271.04</v>
      </c>
    </row>
    <row r="899" spans="1:10">
      <c r="A899" t="s">
        <v>804</v>
      </c>
      <c r="B899" t="s">
        <v>805</v>
      </c>
      <c r="C899" t="s">
        <v>11</v>
      </c>
      <c r="D899" t="s">
        <v>24</v>
      </c>
      <c r="E899" t="s">
        <v>606</v>
      </c>
      <c r="F899" t="s">
        <v>34</v>
      </c>
      <c r="G899" s="91">
        <v>4054.761</v>
      </c>
      <c r="H899" s="91"/>
      <c r="I899" s="91">
        <v>271.999999506753</v>
      </c>
      <c r="J899" s="91">
        <v>1102894.99</v>
      </c>
    </row>
    <row r="900" spans="1:10">
      <c r="A900" t="s">
        <v>804</v>
      </c>
      <c r="B900" t="s">
        <v>805</v>
      </c>
      <c r="C900" t="s">
        <v>20</v>
      </c>
      <c r="D900" t="s">
        <v>47</v>
      </c>
      <c r="E900" t="s">
        <v>50</v>
      </c>
      <c r="F900" t="s">
        <v>49</v>
      </c>
      <c r="G900" s="91">
        <v>121.643</v>
      </c>
      <c r="H900" s="91"/>
      <c r="I900" s="91">
        <v>60</v>
      </c>
      <c r="J900" s="91">
        <v>7298.58</v>
      </c>
    </row>
    <row r="901" spans="1:10">
      <c r="A901" t="s">
        <v>804</v>
      </c>
      <c r="B901" t="s">
        <v>805</v>
      </c>
      <c r="C901" t="s">
        <v>20</v>
      </c>
      <c r="D901" t="s">
        <v>61</v>
      </c>
      <c r="E901" t="s">
        <v>78</v>
      </c>
      <c r="F901" t="s">
        <v>49</v>
      </c>
      <c r="G901" s="91">
        <v>113.506</v>
      </c>
      <c r="H901" s="91"/>
      <c r="I901" s="91">
        <v>95</v>
      </c>
      <c r="J901" s="91">
        <v>10783.07</v>
      </c>
    </row>
    <row r="902" spans="1:10">
      <c r="A902" t="s">
        <v>804</v>
      </c>
      <c r="B902" t="s">
        <v>805</v>
      </c>
      <c r="C902" t="s">
        <v>20</v>
      </c>
      <c r="D902" t="s">
        <v>61</v>
      </c>
      <c r="E902" t="s">
        <v>607</v>
      </c>
      <c r="F902" t="s">
        <v>23</v>
      </c>
      <c r="G902" s="91">
        <v>45.403</v>
      </c>
      <c r="H902" s="91"/>
      <c r="I902" s="91">
        <v>115.200096909896</v>
      </c>
      <c r="J902" s="91">
        <v>5230.43</v>
      </c>
    </row>
    <row r="903" spans="1:10">
      <c r="A903" t="s">
        <v>804</v>
      </c>
      <c r="B903" t="s">
        <v>805</v>
      </c>
      <c r="C903" t="s">
        <v>20</v>
      </c>
      <c r="D903" t="s">
        <v>84</v>
      </c>
      <c r="E903" t="s">
        <v>86</v>
      </c>
      <c r="F903" t="s">
        <v>49</v>
      </c>
      <c r="G903" s="91">
        <v>81.095</v>
      </c>
      <c r="H903" s="91"/>
      <c r="I903" s="91">
        <v>60</v>
      </c>
      <c r="J903" s="91">
        <v>4865.7</v>
      </c>
    </row>
    <row r="904" spans="1:10">
      <c r="A904" t="s">
        <v>804</v>
      </c>
      <c r="B904" t="s">
        <v>805</v>
      </c>
      <c r="C904" t="s">
        <v>20</v>
      </c>
      <c r="D904" t="s">
        <v>84</v>
      </c>
      <c r="E904" t="s">
        <v>88</v>
      </c>
      <c r="F904" t="s">
        <v>49</v>
      </c>
      <c r="G904" s="91">
        <v>162.19</v>
      </c>
      <c r="H904" s="91"/>
      <c r="I904" s="91">
        <v>60</v>
      </c>
      <c r="J904" s="91">
        <v>9731.4</v>
      </c>
    </row>
    <row r="905" spans="1:10">
      <c r="A905" t="s">
        <v>804</v>
      </c>
      <c r="B905" t="s">
        <v>805</v>
      </c>
      <c r="C905" t="s">
        <v>20</v>
      </c>
      <c r="D905" t="s">
        <v>84</v>
      </c>
      <c r="E905" t="s">
        <v>89</v>
      </c>
      <c r="F905" t="s">
        <v>49</v>
      </c>
      <c r="G905" s="91">
        <v>162.19</v>
      </c>
      <c r="H905" s="91"/>
      <c r="I905" s="91">
        <v>60</v>
      </c>
      <c r="J905" s="91">
        <v>9731.4</v>
      </c>
    </row>
    <row r="906" spans="1:10">
      <c r="A906" t="s">
        <v>804</v>
      </c>
      <c r="B906" t="s">
        <v>805</v>
      </c>
      <c r="C906" t="s">
        <v>20</v>
      </c>
      <c r="D906" t="s">
        <v>84</v>
      </c>
      <c r="E906" t="s">
        <v>608</v>
      </c>
      <c r="F906" t="s">
        <v>100</v>
      </c>
      <c r="G906" s="91">
        <v>5453.654</v>
      </c>
      <c r="H906" s="91"/>
      <c r="I906" s="91">
        <v>67.0000003667266</v>
      </c>
      <c r="J906" s="91">
        <v>365394.82</v>
      </c>
    </row>
    <row r="907" spans="1:10">
      <c r="A907" t="s">
        <v>804</v>
      </c>
      <c r="B907" t="s">
        <v>805</v>
      </c>
      <c r="C907" t="s">
        <v>20</v>
      </c>
      <c r="D907" t="s">
        <v>84</v>
      </c>
      <c r="E907" t="s">
        <v>609</v>
      </c>
      <c r="F907" t="s">
        <v>63</v>
      </c>
      <c r="G907" s="91">
        <v>162.19</v>
      </c>
      <c r="H907" s="91"/>
      <c r="I907" s="91">
        <v>135</v>
      </c>
      <c r="J907" s="91">
        <v>21895.65</v>
      </c>
    </row>
    <row r="908" spans="1:10">
      <c r="A908" t="s">
        <v>804</v>
      </c>
      <c r="B908" t="s">
        <v>805</v>
      </c>
      <c r="C908" t="s">
        <v>20</v>
      </c>
      <c r="D908" t="s">
        <v>84</v>
      </c>
      <c r="E908" t="s">
        <v>610</v>
      </c>
      <c r="F908" t="s">
        <v>611</v>
      </c>
      <c r="G908" s="91">
        <v>373.038</v>
      </c>
      <c r="H908" s="91"/>
      <c r="I908" s="91">
        <v>395</v>
      </c>
      <c r="J908" s="91">
        <v>147350.01</v>
      </c>
    </row>
    <row r="909" spans="1:10">
      <c r="A909" t="s">
        <v>804</v>
      </c>
      <c r="B909" t="s">
        <v>805</v>
      </c>
      <c r="C909" t="s">
        <v>20</v>
      </c>
      <c r="D909" t="s">
        <v>84</v>
      </c>
      <c r="E909" t="s">
        <v>612</v>
      </c>
      <c r="F909" t="s">
        <v>611</v>
      </c>
      <c r="G909" s="91">
        <v>291.943</v>
      </c>
      <c r="H909" s="91"/>
      <c r="I909" s="91">
        <v>295.000017126631</v>
      </c>
      <c r="J909" s="91">
        <v>86123.19</v>
      </c>
    </row>
    <row r="910" spans="1:10">
      <c r="A910" t="s">
        <v>806</v>
      </c>
      <c r="B910" t="s">
        <v>807</v>
      </c>
      <c r="C910" t="s">
        <v>20</v>
      </c>
      <c r="D910" t="s">
        <v>47</v>
      </c>
      <c r="E910" t="s">
        <v>48</v>
      </c>
      <c r="F910" t="s">
        <v>49</v>
      </c>
      <c r="G910" s="91">
        <v>2189.916</v>
      </c>
      <c r="H910" s="91"/>
      <c r="I910" s="91">
        <v>75</v>
      </c>
      <c r="J910" s="91">
        <v>164243.7</v>
      </c>
    </row>
    <row r="911" spans="1:10">
      <c r="A911" t="s">
        <v>806</v>
      </c>
      <c r="B911" t="s">
        <v>807</v>
      </c>
      <c r="C911" t="s">
        <v>20</v>
      </c>
      <c r="D911" t="s">
        <v>624</v>
      </c>
      <c r="E911" t="s">
        <v>625</v>
      </c>
      <c r="F911" t="s">
        <v>23</v>
      </c>
      <c r="G911" s="91">
        <v>5474.79</v>
      </c>
      <c r="H911" s="91"/>
      <c r="I911" s="91">
        <v>0.799999634689184</v>
      </c>
      <c r="J911" s="91">
        <v>4379.83</v>
      </c>
    </row>
    <row r="912" spans="1:10">
      <c r="A912" t="s">
        <v>806</v>
      </c>
      <c r="B912" t="s">
        <v>807</v>
      </c>
      <c r="C912" t="s">
        <v>20</v>
      </c>
      <c r="D912" t="s">
        <v>624</v>
      </c>
      <c r="E912" t="s">
        <v>626</v>
      </c>
      <c r="F912" t="s">
        <v>23</v>
      </c>
      <c r="G912" s="91">
        <v>5474.79</v>
      </c>
      <c r="H912" s="91"/>
      <c r="I912" s="91">
        <v>0.899999817344592</v>
      </c>
      <c r="J912" s="91">
        <v>4927.31</v>
      </c>
    </row>
    <row r="913" spans="1:10">
      <c r="A913" t="s">
        <v>806</v>
      </c>
      <c r="B913" t="s">
        <v>807</v>
      </c>
      <c r="C913" t="s">
        <v>20</v>
      </c>
      <c r="D913" t="s">
        <v>624</v>
      </c>
      <c r="E913" t="s">
        <v>627</v>
      </c>
      <c r="F913" t="s">
        <v>23</v>
      </c>
      <c r="G913" s="91">
        <v>5474.79</v>
      </c>
      <c r="H913" s="91"/>
      <c r="I913" s="91">
        <v>3.10000018265541</v>
      </c>
      <c r="J913" s="91">
        <v>16971.85</v>
      </c>
    </row>
    <row r="914" spans="1:10">
      <c r="A914" t="s">
        <v>806</v>
      </c>
      <c r="B914" t="s">
        <v>807</v>
      </c>
      <c r="C914" t="s">
        <v>20</v>
      </c>
      <c r="D914" t="s">
        <v>624</v>
      </c>
      <c r="E914" t="s">
        <v>628</v>
      </c>
      <c r="F914" t="s">
        <v>23</v>
      </c>
      <c r="G914" s="91">
        <v>6843.488</v>
      </c>
      <c r="H914" s="91"/>
      <c r="I914" s="91">
        <v>3.09999959085192</v>
      </c>
      <c r="J914" s="91">
        <v>21214.81</v>
      </c>
    </row>
    <row r="915" spans="1:10">
      <c r="A915" t="s">
        <v>806</v>
      </c>
      <c r="B915" t="s">
        <v>807</v>
      </c>
      <c r="C915" t="s">
        <v>11</v>
      </c>
      <c r="D915" t="s">
        <v>630</v>
      </c>
      <c r="E915" t="s">
        <v>631</v>
      </c>
      <c r="F915" t="s">
        <v>17</v>
      </c>
      <c r="G915" s="91">
        <v>182.493</v>
      </c>
      <c r="H915" s="91"/>
      <c r="I915" s="91">
        <v>9380</v>
      </c>
      <c r="J915" s="91">
        <v>1711784.34</v>
      </c>
    </row>
    <row r="916" spans="1:10">
      <c r="A916" t="s">
        <v>808</v>
      </c>
      <c r="B916" t="s">
        <v>809</v>
      </c>
      <c r="C916" t="s">
        <v>20</v>
      </c>
      <c r="D916" t="s">
        <v>47</v>
      </c>
      <c r="E916" t="s">
        <v>48</v>
      </c>
      <c r="F916" t="s">
        <v>49</v>
      </c>
      <c r="G916" s="91">
        <v>2827.956</v>
      </c>
      <c r="H916" s="91"/>
      <c r="I916" s="91">
        <v>75</v>
      </c>
      <c r="J916" s="91">
        <v>212096.7</v>
      </c>
    </row>
    <row r="917" spans="1:10">
      <c r="A917" t="s">
        <v>808</v>
      </c>
      <c r="B917" t="s">
        <v>809</v>
      </c>
      <c r="C917" t="s">
        <v>20</v>
      </c>
      <c r="D917" t="s">
        <v>624</v>
      </c>
      <c r="E917" t="s">
        <v>625</v>
      </c>
      <c r="F917" t="s">
        <v>23</v>
      </c>
      <c r="G917" s="91">
        <v>7069.89</v>
      </c>
      <c r="H917" s="91"/>
      <c r="I917" s="91">
        <v>0.799999717110167</v>
      </c>
      <c r="J917" s="91">
        <v>5655.91</v>
      </c>
    </row>
    <row r="918" spans="1:10">
      <c r="A918" t="s">
        <v>808</v>
      </c>
      <c r="B918" t="s">
        <v>809</v>
      </c>
      <c r="C918" t="s">
        <v>20</v>
      </c>
      <c r="D918" t="s">
        <v>624</v>
      </c>
      <c r="E918" t="s">
        <v>626</v>
      </c>
      <c r="F918" t="s">
        <v>23</v>
      </c>
      <c r="G918" s="91">
        <v>7069.89</v>
      </c>
      <c r="H918" s="91"/>
      <c r="I918" s="91">
        <v>0.899999858555083</v>
      </c>
      <c r="J918" s="91">
        <v>6362.9</v>
      </c>
    </row>
    <row r="919" spans="1:10">
      <c r="A919" t="s">
        <v>808</v>
      </c>
      <c r="B919" t="s">
        <v>809</v>
      </c>
      <c r="C919" t="s">
        <v>20</v>
      </c>
      <c r="D919" t="s">
        <v>624</v>
      </c>
      <c r="E919" t="s">
        <v>627</v>
      </c>
      <c r="F919" t="s">
        <v>23</v>
      </c>
      <c r="G919" s="91">
        <v>7069.89</v>
      </c>
      <c r="H919" s="91"/>
      <c r="I919" s="91">
        <v>3.10000014144492</v>
      </c>
      <c r="J919" s="91">
        <v>21916.66</v>
      </c>
    </row>
    <row r="920" spans="1:10">
      <c r="A920" t="s">
        <v>808</v>
      </c>
      <c r="B920" t="s">
        <v>809</v>
      </c>
      <c r="C920" t="s">
        <v>20</v>
      </c>
      <c r="D920" t="s">
        <v>624</v>
      </c>
      <c r="E920" t="s">
        <v>628</v>
      </c>
      <c r="F920" t="s">
        <v>23</v>
      </c>
      <c r="G920" s="91">
        <v>8837.363</v>
      </c>
      <c r="H920" s="91"/>
      <c r="I920" s="91">
        <v>3.10000053183286</v>
      </c>
      <c r="J920" s="91">
        <v>27395.83</v>
      </c>
    </row>
    <row r="921" spans="1:10">
      <c r="A921" t="s">
        <v>808</v>
      </c>
      <c r="B921" t="s">
        <v>809</v>
      </c>
      <c r="C921" t="s">
        <v>11</v>
      </c>
      <c r="D921" t="s">
        <v>630</v>
      </c>
      <c r="E921" t="s">
        <v>631</v>
      </c>
      <c r="F921" t="s">
        <v>17</v>
      </c>
      <c r="G921" s="91">
        <v>235.663</v>
      </c>
      <c r="H921" s="91"/>
      <c r="I921" s="91">
        <v>9380</v>
      </c>
      <c r="J921" s="91">
        <v>2210518.94</v>
      </c>
    </row>
    <row r="922" spans="1:10">
      <c r="A922" t="s">
        <v>810</v>
      </c>
      <c r="B922" t="s">
        <v>811</v>
      </c>
      <c r="C922" t="s">
        <v>20</v>
      </c>
      <c r="D922" t="s">
        <v>47</v>
      </c>
      <c r="E922" t="s">
        <v>48</v>
      </c>
      <c r="F922" t="s">
        <v>49</v>
      </c>
      <c r="G922" s="91">
        <v>2727.696</v>
      </c>
      <c r="H922" s="91"/>
      <c r="I922" s="91">
        <v>75</v>
      </c>
      <c r="J922" s="91">
        <v>204577.2</v>
      </c>
    </row>
    <row r="923" spans="1:10">
      <c r="A923" t="s">
        <v>810</v>
      </c>
      <c r="B923" t="s">
        <v>811</v>
      </c>
      <c r="C923" t="s">
        <v>20</v>
      </c>
      <c r="D923" t="s">
        <v>624</v>
      </c>
      <c r="E923" t="s">
        <v>625</v>
      </c>
      <c r="F923" t="s">
        <v>23</v>
      </c>
      <c r="G923" s="91">
        <v>6819.24</v>
      </c>
      <c r="H923" s="91"/>
      <c r="I923" s="91">
        <v>0.799999706712185</v>
      </c>
      <c r="J923" s="91">
        <v>5455.39</v>
      </c>
    </row>
    <row r="924" spans="1:10">
      <c r="A924" t="s">
        <v>810</v>
      </c>
      <c r="B924" t="s">
        <v>811</v>
      </c>
      <c r="C924" t="s">
        <v>20</v>
      </c>
      <c r="D924" t="s">
        <v>624</v>
      </c>
      <c r="E924" t="s">
        <v>626</v>
      </c>
      <c r="F924" t="s">
        <v>23</v>
      </c>
      <c r="G924" s="91">
        <v>6819.24</v>
      </c>
      <c r="H924" s="91"/>
      <c r="I924" s="91">
        <v>0.90000058657563</v>
      </c>
      <c r="J924" s="91">
        <v>6137.32</v>
      </c>
    </row>
    <row r="925" spans="1:10">
      <c r="A925" t="s">
        <v>810</v>
      </c>
      <c r="B925" t="s">
        <v>811</v>
      </c>
      <c r="C925" t="s">
        <v>20</v>
      </c>
      <c r="D925" t="s">
        <v>624</v>
      </c>
      <c r="E925" t="s">
        <v>627</v>
      </c>
      <c r="F925" t="s">
        <v>23</v>
      </c>
      <c r="G925" s="91">
        <v>6819.24</v>
      </c>
      <c r="H925" s="91"/>
      <c r="I925" s="91">
        <v>3.09999941342437</v>
      </c>
      <c r="J925" s="91">
        <v>21139.64</v>
      </c>
    </row>
    <row r="926" spans="1:10">
      <c r="A926" t="s">
        <v>810</v>
      </c>
      <c r="B926" t="s">
        <v>811</v>
      </c>
      <c r="C926" t="s">
        <v>20</v>
      </c>
      <c r="D926" t="s">
        <v>624</v>
      </c>
      <c r="E926" t="s">
        <v>628</v>
      </c>
      <c r="F926" t="s">
        <v>23</v>
      </c>
      <c r="G926" s="91">
        <v>8524.05</v>
      </c>
      <c r="H926" s="91"/>
      <c r="I926" s="91">
        <v>3.10000058657563</v>
      </c>
      <c r="J926" s="91">
        <v>26424.56</v>
      </c>
    </row>
    <row r="927" spans="1:10">
      <c r="A927" t="s">
        <v>810</v>
      </c>
      <c r="B927" t="s">
        <v>811</v>
      </c>
      <c r="C927" t="s">
        <v>11</v>
      </c>
      <c r="D927" t="s">
        <v>630</v>
      </c>
      <c r="E927" t="s">
        <v>631</v>
      </c>
      <c r="F927" t="s">
        <v>17</v>
      </c>
      <c r="G927" s="91">
        <v>227.308</v>
      </c>
      <c r="H927" s="91"/>
      <c r="I927" s="91">
        <v>9380</v>
      </c>
      <c r="J927" s="91">
        <v>2132149.04</v>
      </c>
    </row>
    <row r="928" spans="1:10">
      <c r="A928" t="s">
        <v>812</v>
      </c>
      <c r="B928" t="s">
        <v>813</v>
      </c>
      <c r="C928" t="s">
        <v>20</v>
      </c>
      <c r="D928" t="s">
        <v>47</v>
      </c>
      <c r="E928" t="s">
        <v>48</v>
      </c>
      <c r="F928" t="s">
        <v>49</v>
      </c>
      <c r="G928" s="91">
        <v>2627.604</v>
      </c>
      <c r="H928" s="91"/>
      <c r="I928" s="91">
        <v>75</v>
      </c>
      <c r="J928" s="91">
        <v>197070.3</v>
      </c>
    </row>
    <row r="929" spans="1:10">
      <c r="A929" t="s">
        <v>812</v>
      </c>
      <c r="B929" t="s">
        <v>813</v>
      </c>
      <c r="C929" t="s">
        <v>20</v>
      </c>
      <c r="D929" t="s">
        <v>624</v>
      </c>
      <c r="E929" t="s">
        <v>625</v>
      </c>
      <c r="F929" t="s">
        <v>23</v>
      </c>
      <c r="G929" s="91">
        <v>6569.01</v>
      </c>
      <c r="H929" s="91"/>
      <c r="I929" s="91">
        <v>0.800000304459881</v>
      </c>
      <c r="J929" s="91">
        <v>5255.21</v>
      </c>
    </row>
    <row r="930" spans="1:10">
      <c r="A930" t="s">
        <v>812</v>
      </c>
      <c r="B930" t="s">
        <v>813</v>
      </c>
      <c r="C930" t="s">
        <v>20</v>
      </c>
      <c r="D930" t="s">
        <v>624</v>
      </c>
      <c r="E930" t="s">
        <v>626</v>
      </c>
      <c r="F930" t="s">
        <v>23</v>
      </c>
      <c r="G930" s="91">
        <v>6569.01</v>
      </c>
      <c r="H930" s="91"/>
      <c r="I930" s="91">
        <v>0.90000015222994</v>
      </c>
      <c r="J930" s="91">
        <v>5912.11</v>
      </c>
    </row>
    <row r="931" spans="1:10">
      <c r="A931" t="s">
        <v>812</v>
      </c>
      <c r="B931" t="s">
        <v>813</v>
      </c>
      <c r="C931" t="s">
        <v>20</v>
      </c>
      <c r="D931" t="s">
        <v>624</v>
      </c>
      <c r="E931" t="s">
        <v>627</v>
      </c>
      <c r="F931" t="s">
        <v>23</v>
      </c>
      <c r="G931" s="91">
        <v>6569.01</v>
      </c>
      <c r="H931" s="91"/>
      <c r="I931" s="91">
        <v>3.09999984777006</v>
      </c>
      <c r="J931" s="91">
        <v>20363.93</v>
      </c>
    </row>
    <row r="932" spans="1:10">
      <c r="A932" t="s">
        <v>812</v>
      </c>
      <c r="B932" t="s">
        <v>813</v>
      </c>
      <c r="C932" t="s">
        <v>20</v>
      </c>
      <c r="D932" t="s">
        <v>624</v>
      </c>
      <c r="E932" t="s">
        <v>628</v>
      </c>
      <c r="F932" t="s">
        <v>23</v>
      </c>
      <c r="G932" s="91">
        <v>8211.263</v>
      </c>
      <c r="H932" s="91"/>
      <c r="I932" s="91">
        <v>3.10000057238454</v>
      </c>
      <c r="J932" s="91">
        <v>25454.92</v>
      </c>
    </row>
    <row r="933" spans="1:10">
      <c r="A933" t="s">
        <v>812</v>
      </c>
      <c r="B933" t="s">
        <v>813</v>
      </c>
      <c r="C933" t="s">
        <v>11</v>
      </c>
      <c r="D933" t="s">
        <v>630</v>
      </c>
      <c r="E933" t="s">
        <v>631</v>
      </c>
      <c r="F933" t="s">
        <v>17</v>
      </c>
      <c r="G933" s="91">
        <v>218.967</v>
      </c>
      <c r="H933" s="91"/>
      <c r="I933" s="91">
        <v>9380</v>
      </c>
      <c r="J933" s="91">
        <v>2053910.46</v>
      </c>
    </row>
    <row r="934" spans="1:10">
      <c r="A934" t="s">
        <v>814</v>
      </c>
      <c r="B934" t="s">
        <v>815</v>
      </c>
      <c r="C934" t="s">
        <v>20</v>
      </c>
      <c r="D934" t="s">
        <v>47</v>
      </c>
      <c r="E934" t="s">
        <v>48</v>
      </c>
      <c r="F934" t="s">
        <v>49</v>
      </c>
      <c r="G934" s="91">
        <v>2527.512</v>
      </c>
      <c r="H934" s="91"/>
      <c r="I934" s="91">
        <v>75</v>
      </c>
      <c r="J934" s="91">
        <v>189563.4</v>
      </c>
    </row>
    <row r="935" spans="1:10">
      <c r="A935" t="s">
        <v>814</v>
      </c>
      <c r="B935" t="s">
        <v>815</v>
      </c>
      <c r="C935" t="s">
        <v>20</v>
      </c>
      <c r="D935" t="s">
        <v>624</v>
      </c>
      <c r="E935" t="s">
        <v>625</v>
      </c>
      <c r="F935" t="s">
        <v>23</v>
      </c>
      <c r="G935" s="91">
        <v>6318.78</v>
      </c>
      <c r="H935" s="91"/>
      <c r="I935" s="91">
        <v>0.799999366966408</v>
      </c>
      <c r="J935" s="91">
        <v>5055.02</v>
      </c>
    </row>
    <row r="936" spans="1:10">
      <c r="A936" t="s">
        <v>814</v>
      </c>
      <c r="B936" t="s">
        <v>815</v>
      </c>
      <c r="C936" t="s">
        <v>20</v>
      </c>
      <c r="D936" t="s">
        <v>624</v>
      </c>
      <c r="E936" t="s">
        <v>626</v>
      </c>
      <c r="F936" t="s">
        <v>23</v>
      </c>
      <c r="G936" s="91">
        <v>6318.78</v>
      </c>
      <c r="H936" s="91"/>
      <c r="I936" s="91">
        <v>0.899999683483204</v>
      </c>
      <c r="J936" s="91">
        <v>5686.9</v>
      </c>
    </row>
    <row r="937" spans="1:10">
      <c r="A937" t="s">
        <v>814</v>
      </c>
      <c r="B937" t="s">
        <v>815</v>
      </c>
      <c r="C937" t="s">
        <v>20</v>
      </c>
      <c r="D937" t="s">
        <v>624</v>
      </c>
      <c r="E937" t="s">
        <v>627</v>
      </c>
      <c r="F937" t="s">
        <v>23</v>
      </c>
      <c r="G937" s="91">
        <v>6318.78</v>
      </c>
      <c r="H937" s="91"/>
      <c r="I937" s="91">
        <v>3.1000003165168</v>
      </c>
      <c r="J937" s="91">
        <v>19588.22</v>
      </c>
    </row>
    <row r="938" spans="1:10">
      <c r="A938" t="s">
        <v>814</v>
      </c>
      <c r="B938" t="s">
        <v>815</v>
      </c>
      <c r="C938" t="s">
        <v>20</v>
      </c>
      <c r="D938" t="s">
        <v>624</v>
      </c>
      <c r="E938" t="s">
        <v>628</v>
      </c>
      <c r="F938" t="s">
        <v>23</v>
      </c>
      <c r="G938" s="91">
        <v>7898.475</v>
      </c>
      <c r="H938" s="91"/>
      <c r="I938" s="91">
        <v>3.0999996834832</v>
      </c>
      <c r="J938" s="91">
        <v>24485.27</v>
      </c>
    </row>
    <row r="939" spans="1:10">
      <c r="A939" t="s">
        <v>814</v>
      </c>
      <c r="B939" t="s">
        <v>815</v>
      </c>
      <c r="C939" t="s">
        <v>11</v>
      </c>
      <c r="D939" t="s">
        <v>630</v>
      </c>
      <c r="E939" t="s">
        <v>631</v>
      </c>
      <c r="F939" t="s">
        <v>17</v>
      </c>
      <c r="G939" s="91">
        <v>210.626</v>
      </c>
      <c r="H939" s="91"/>
      <c r="I939" s="91">
        <v>9380</v>
      </c>
      <c r="J939" s="91">
        <v>1975671.88</v>
      </c>
    </row>
    <row r="940" spans="1:10">
      <c r="A940" t="s">
        <v>816</v>
      </c>
      <c r="B940" t="s">
        <v>817</v>
      </c>
      <c r="C940" t="s">
        <v>20</v>
      </c>
      <c r="D940" t="s">
        <v>47</v>
      </c>
      <c r="E940" t="s">
        <v>48</v>
      </c>
      <c r="F940" t="s">
        <v>49</v>
      </c>
      <c r="G940" s="91">
        <v>2427.42</v>
      </c>
      <c r="H940" s="91"/>
      <c r="I940" s="91">
        <v>75</v>
      </c>
      <c r="J940" s="91">
        <v>182056.5</v>
      </c>
    </row>
    <row r="941" spans="1:10">
      <c r="A941" t="s">
        <v>816</v>
      </c>
      <c r="B941" t="s">
        <v>817</v>
      </c>
      <c r="C941" t="s">
        <v>20</v>
      </c>
      <c r="D941" t="s">
        <v>624</v>
      </c>
      <c r="E941" t="s">
        <v>625</v>
      </c>
      <c r="F941" t="s">
        <v>23</v>
      </c>
      <c r="G941" s="91">
        <v>6068.55</v>
      </c>
      <c r="H941" s="91"/>
      <c r="I941" s="91">
        <v>0.8</v>
      </c>
      <c r="J941" s="91">
        <v>4854.84</v>
      </c>
    </row>
    <row r="942" spans="1:10">
      <c r="A942" t="s">
        <v>816</v>
      </c>
      <c r="B942" t="s">
        <v>817</v>
      </c>
      <c r="C942" t="s">
        <v>20</v>
      </c>
      <c r="D942" t="s">
        <v>624</v>
      </c>
      <c r="E942" t="s">
        <v>626</v>
      </c>
      <c r="F942" t="s">
        <v>23</v>
      </c>
      <c r="G942" s="91">
        <v>6068.55</v>
      </c>
      <c r="H942" s="91"/>
      <c r="I942" s="91">
        <v>0.900000823920047</v>
      </c>
      <c r="J942" s="91">
        <v>5461.7</v>
      </c>
    </row>
    <row r="943" spans="1:10">
      <c r="A943" t="s">
        <v>816</v>
      </c>
      <c r="B943" t="s">
        <v>817</v>
      </c>
      <c r="C943" t="s">
        <v>20</v>
      </c>
      <c r="D943" t="s">
        <v>624</v>
      </c>
      <c r="E943" t="s">
        <v>627</v>
      </c>
      <c r="F943" t="s">
        <v>23</v>
      </c>
      <c r="G943" s="91">
        <v>6068.55</v>
      </c>
      <c r="H943" s="91"/>
      <c r="I943" s="91">
        <v>3.10000082392005</v>
      </c>
      <c r="J943" s="91">
        <v>18812.51</v>
      </c>
    </row>
    <row r="944" spans="1:10">
      <c r="A944" t="s">
        <v>816</v>
      </c>
      <c r="B944" t="s">
        <v>817</v>
      </c>
      <c r="C944" t="s">
        <v>20</v>
      </c>
      <c r="D944" t="s">
        <v>624</v>
      </c>
      <c r="E944" t="s">
        <v>628</v>
      </c>
      <c r="F944" t="s">
        <v>23</v>
      </c>
      <c r="G944" s="91">
        <v>7585.688</v>
      </c>
      <c r="H944" s="91"/>
      <c r="I944" s="91">
        <v>3.09999963088384</v>
      </c>
      <c r="J944" s="91">
        <v>23515.63</v>
      </c>
    </row>
    <row r="945" spans="1:10">
      <c r="A945" t="s">
        <v>816</v>
      </c>
      <c r="B945" t="s">
        <v>817</v>
      </c>
      <c r="C945" t="s">
        <v>11</v>
      </c>
      <c r="D945" t="s">
        <v>630</v>
      </c>
      <c r="E945" t="s">
        <v>631</v>
      </c>
      <c r="F945" t="s">
        <v>17</v>
      </c>
      <c r="G945" s="91">
        <v>202.285</v>
      </c>
      <c r="H945" s="91"/>
      <c r="I945" s="91">
        <v>9380</v>
      </c>
      <c r="J945" s="91">
        <v>1897433.3</v>
      </c>
    </row>
    <row r="946" spans="1:10">
      <c r="A946" t="s">
        <v>818</v>
      </c>
      <c r="B946" t="s">
        <v>819</v>
      </c>
      <c r="C946" t="s">
        <v>20</v>
      </c>
      <c r="D946" t="s">
        <v>47</v>
      </c>
      <c r="E946" t="s">
        <v>48</v>
      </c>
      <c r="F946" t="s">
        <v>49</v>
      </c>
      <c r="G946" s="91">
        <v>2327.484</v>
      </c>
      <c r="H946" s="91"/>
      <c r="I946" s="91">
        <v>75</v>
      </c>
      <c r="J946" s="91">
        <v>174561.3</v>
      </c>
    </row>
    <row r="947" spans="1:10">
      <c r="A947" t="s">
        <v>818</v>
      </c>
      <c r="B947" t="s">
        <v>819</v>
      </c>
      <c r="C947" t="s">
        <v>20</v>
      </c>
      <c r="D947" t="s">
        <v>624</v>
      </c>
      <c r="E947" t="s">
        <v>625</v>
      </c>
      <c r="F947" t="s">
        <v>23</v>
      </c>
      <c r="G947" s="91">
        <v>5818.71</v>
      </c>
      <c r="H947" s="91"/>
      <c r="I947" s="91">
        <v>0.800000343718797</v>
      </c>
      <c r="J947" s="91">
        <v>4654.97</v>
      </c>
    </row>
    <row r="948" spans="1:10">
      <c r="A948" t="s">
        <v>818</v>
      </c>
      <c r="B948" t="s">
        <v>819</v>
      </c>
      <c r="C948" t="s">
        <v>20</v>
      </c>
      <c r="D948" t="s">
        <v>624</v>
      </c>
      <c r="E948" t="s">
        <v>626</v>
      </c>
      <c r="F948" t="s">
        <v>23</v>
      </c>
      <c r="G948" s="91">
        <v>5818.71</v>
      </c>
      <c r="H948" s="91"/>
      <c r="I948" s="91">
        <v>0.900000171859398</v>
      </c>
      <c r="J948" s="91">
        <v>5236.84</v>
      </c>
    </row>
    <row r="949" spans="1:10">
      <c r="A949" t="s">
        <v>818</v>
      </c>
      <c r="B949" t="s">
        <v>819</v>
      </c>
      <c r="C949" t="s">
        <v>20</v>
      </c>
      <c r="D949" t="s">
        <v>624</v>
      </c>
      <c r="E949" t="s">
        <v>627</v>
      </c>
      <c r="F949" t="s">
        <v>23</v>
      </c>
      <c r="G949" s="91">
        <v>5818.71</v>
      </c>
      <c r="H949" s="91"/>
      <c r="I949" s="91">
        <v>3.0999998281406</v>
      </c>
      <c r="J949" s="91">
        <v>18038</v>
      </c>
    </row>
    <row r="950" spans="1:10">
      <c r="A950" t="s">
        <v>818</v>
      </c>
      <c r="B950" t="s">
        <v>819</v>
      </c>
      <c r="C950" t="s">
        <v>20</v>
      </c>
      <c r="D950" t="s">
        <v>624</v>
      </c>
      <c r="E950" t="s">
        <v>628</v>
      </c>
      <c r="F950" t="s">
        <v>23</v>
      </c>
      <c r="G950" s="91">
        <v>7273.387</v>
      </c>
      <c r="H950" s="91"/>
      <c r="I950" s="91">
        <v>3.10000004124626</v>
      </c>
      <c r="J950" s="91">
        <v>22547.5</v>
      </c>
    </row>
    <row r="951" spans="1:10">
      <c r="A951" t="s">
        <v>818</v>
      </c>
      <c r="B951" t="s">
        <v>819</v>
      </c>
      <c r="C951" t="s">
        <v>11</v>
      </c>
      <c r="D951" t="s">
        <v>630</v>
      </c>
      <c r="E951" t="s">
        <v>631</v>
      </c>
      <c r="F951" t="s">
        <v>17</v>
      </c>
      <c r="G951" s="91">
        <v>193.957</v>
      </c>
      <c r="H951" s="91"/>
      <c r="I951" s="91">
        <v>9380</v>
      </c>
      <c r="J951" s="91">
        <v>1819316.66</v>
      </c>
    </row>
    <row r="952" spans="1:10">
      <c r="A952" t="s">
        <v>820</v>
      </c>
      <c r="B952" t="s">
        <v>821</v>
      </c>
      <c r="C952" t="s">
        <v>20</v>
      </c>
      <c r="D952" t="s">
        <v>47</v>
      </c>
      <c r="E952" t="s">
        <v>48</v>
      </c>
      <c r="F952" t="s">
        <v>49</v>
      </c>
      <c r="G952" s="91">
        <v>1060.224</v>
      </c>
      <c r="H952" s="91"/>
      <c r="I952" s="91">
        <v>75</v>
      </c>
      <c r="J952" s="91">
        <v>79516.8</v>
      </c>
    </row>
    <row r="953" spans="1:10">
      <c r="A953" t="s">
        <v>820</v>
      </c>
      <c r="B953" t="s">
        <v>821</v>
      </c>
      <c r="C953" t="s">
        <v>20</v>
      </c>
      <c r="D953" t="s">
        <v>624</v>
      </c>
      <c r="E953" t="s">
        <v>625</v>
      </c>
      <c r="F953" t="s">
        <v>23</v>
      </c>
      <c r="G953" s="91">
        <v>2650.56</v>
      </c>
      <c r="H953" s="91"/>
      <c r="I953" s="91">
        <v>0.800000754557527</v>
      </c>
      <c r="J953" s="91">
        <v>2120.45</v>
      </c>
    </row>
    <row r="954" spans="1:10">
      <c r="A954" t="s">
        <v>820</v>
      </c>
      <c r="B954" t="s">
        <v>821</v>
      </c>
      <c r="C954" t="s">
        <v>20</v>
      </c>
      <c r="D954" t="s">
        <v>624</v>
      </c>
      <c r="E954" t="s">
        <v>626</v>
      </c>
      <c r="F954" t="s">
        <v>23</v>
      </c>
      <c r="G954" s="91">
        <v>2650.56</v>
      </c>
      <c r="H954" s="91"/>
      <c r="I954" s="91">
        <v>0.899998490884945</v>
      </c>
      <c r="J954" s="91">
        <v>2385.5</v>
      </c>
    </row>
    <row r="955" spans="1:10">
      <c r="A955" t="s">
        <v>820</v>
      </c>
      <c r="B955" t="s">
        <v>821</v>
      </c>
      <c r="C955" t="s">
        <v>20</v>
      </c>
      <c r="D955" t="s">
        <v>624</v>
      </c>
      <c r="E955" t="s">
        <v>627</v>
      </c>
      <c r="F955" t="s">
        <v>23</v>
      </c>
      <c r="G955" s="91">
        <v>2650.56</v>
      </c>
      <c r="H955" s="91"/>
      <c r="I955" s="91">
        <v>3.10000150911505</v>
      </c>
      <c r="J955" s="91">
        <v>8216.74</v>
      </c>
    </row>
    <row r="956" spans="1:10">
      <c r="A956" t="s">
        <v>820</v>
      </c>
      <c r="B956" t="s">
        <v>821</v>
      </c>
      <c r="C956" t="s">
        <v>20</v>
      </c>
      <c r="D956" t="s">
        <v>624</v>
      </c>
      <c r="E956" t="s">
        <v>628</v>
      </c>
      <c r="F956" t="s">
        <v>23</v>
      </c>
      <c r="G956" s="91">
        <v>3313.2</v>
      </c>
      <c r="H956" s="91"/>
      <c r="I956" s="91">
        <v>3.1</v>
      </c>
      <c r="J956" s="91">
        <v>10270.92</v>
      </c>
    </row>
    <row r="957" spans="1:10">
      <c r="A957" t="s">
        <v>820</v>
      </c>
      <c r="B957" t="s">
        <v>821</v>
      </c>
      <c r="C957" t="s">
        <v>11</v>
      </c>
      <c r="D957" t="s">
        <v>630</v>
      </c>
      <c r="E957" t="s">
        <v>631</v>
      </c>
      <c r="F957" t="s">
        <v>17</v>
      </c>
      <c r="G957" s="91">
        <v>88.352</v>
      </c>
      <c r="H957" s="91"/>
      <c r="I957" s="91">
        <v>9380</v>
      </c>
      <c r="J957" s="91">
        <v>828741.76</v>
      </c>
    </row>
    <row r="958" spans="1:10">
      <c r="A958" t="s">
        <v>822</v>
      </c>
      <c r="B958" t="s">
        <v>823</v>
      </c>
      <c r="C958" t="s">
        <v>20</v>
      </c>
      <c r="D958" t="s">
        <v>47</v>
      </c>
      <c r="E958" t="s">
        <v>48</v>
      </c>
      <c r="F958" t="s">
        <v>49</v>
      </c>
      <c r="G958" s="91">
        <v>2227.224</v>
      </c>
      <c r="H958" s="91"/>
      <c r="I958" s="91">
        <v>75</v>
      </c>
      <c r="J958" s="91">
        <v>167041.8</v>
      </c>
    </row>
    <row r="959" spans="1:10">
      <c r="A959" t="s">
        <v>822</v>
      </c>
      <c r="B959" t="s">
        <v>823</v>
      </c>
      <c r="C959" t="s">
        <v>20</v>
      </c>
      <c r="D959" t="s">
        <v>624</v>
      </c>
      <c r="E959" t="s">
        <v>625</v>
      </c>
      <c r="F959" t="s">
        <v>23</v>
      </c>
      <c r="G959" s="91">
        <v>5568.06</v>
      </c>
      <c r="H959" s="91"/>
      <c r="I959" s="91">
        <v>0.800000359191532</v>
      </c>
      <c r="J959" s="91">
        <v>4454.45</v>
      </c>
    </row>
    <row r="960" spans="1:10">
      <c r="A960" t="s">
        <v>822</v>
      </c>
      <c r="B960" t="s">
        <v>823</v>
      </c>
      <c r="C960" t="s">
        <v>20</v>
      </c>
      <c r="D960" t="s">
        <v>624</v>
      </c>
      <c r="E960" t="s">
        <v>626</v>
      </c>
      <c r="F960" t="s">
        <v>23</v>
      </c>
      <c r="G960" s="91">
        <v>5568.06</v>
      </c>
      <c r="H960" s="91"/>
      <c r="I960" s="91">
        <v>0.899999281616937</v>
      </c>
      <c r="J960" s="91">
        <v>5011.25</v>
      </c>
    </row>
    <row r="961" spans="1:10">
      <c r="A961" t="s">
        <v>822</v>
      </c>
      <c r="B961" t="s">
        <v>823</v>
      </c>
      <c r="C961" t="s">
        <v>20</v>
      </c>
      <c r="D961" t="s">
        <v>624</v>
      </c>
      <c r="E961" t="s">
        <v>627</v>
      </c>
      <c r="F961" t="s">
        <v>23</v>
      </c>
      <c r="G961" s="91">
        <v>5568.06</v>
      </c>
      <c r="H961" s="91"/>
      <c r="I961" s="91">
        <v>3.10000071838306</v>
      </c>
      <c r="J961" s="91">
        <v>17260.99</v>
      </c>
    </row>
    <row r="962" spans="1:10">
      <c r="A962" t="s">
        <v>822</v>
      </c>
      <c r="B962" t="s">
        <v>823</v>
      </c>
      <c r="C962" t="s">
        <v>20</v>
      </c>
      <c r="D962" t="s">
        <v>624</v>
      </c>
      <c r="E962" t="s">
        <v>628</v>
      </c>
      <c r="F962" t="s">
        <v>23</v>
      </c>
      <c r="G962" s="91">
        <v>6960.075</v>
      </c>
      <c r="H962" s="91"/>
      <c r="I962" s="91">
        <v>3.09999964080847</v>
      </c>
      <c r="J962" s="91">
        <v>21576.23</v>
      </c>
    </row>
    <row r="963" spans="1:10">
      <c r="A963" t="s">
        <v>822</v>
      </c>
      <c r="B963" t="s">
        <v>823</v>
      </c>
      <c r="C963" t="s">
        <v>11</v>
      </c>
      <c r="D963" t="s">
        <v>630</v>
      </c>
      <c r="E963" t="s">
        <v>631</v>
      </c>
      <c r="F963" t="s">
        <v>17</v>
      </c>
      <c r="G963" s="91">
        <v>185.602</v>
      </c>
      <c r="H963" s="91"/>
      <c r="I963" s="91">
        <v>9380</v>
      </c>
      <c r="J963" s="91">
        <v>1740946.76</v>
      </c>
    </row>
    <row r="964" spans="1:10">
      <c r="A964" t="s">
        <v>824</v>
      </c>
      <c r="B964" t="s">
        <v>825</v>
      </c>
      <c r="C964" t="s">
        <v>11</v>
      </c>
      <c r="D964" t="s">
        <v>634</v>
      </c>
      <c r="E964" t="s">
        <v>635</v>
      </c>
      <c r="F964" t="s">
        <v>23</v>
      </c>
      <c r="G964" s="91">
        <v>9877.332</v>
      </c>
      <c r="H964" s="91"/>
      <c r="I964" s="91">
        <v>15.9999997975162</v>
      </c>
      <c r="J964" s="91">
        <v>158037.31</v>
      </c>
    </row>
    <row r="965" spans="1:10">
      <c r="A965" t="s">
        <v>824</v>
      </c>
      <c r="B965" t="s">
        <v>825</v>
      </c>
      <c r="C965" t="s">
        <v>20</v>
      </c>
      <c r="D965" t="s">
        <v>636</v>
      </c>
      <c r="E965" t="s">
        <v>637</v>
      </c>
      <c r="F965" t="s">
        <v>23</v>
      </c>
      <c r="G965" s="91">
        <v>4938.666</v>
      </c>
      <c r="H965" s="91"/>
      <c r="I965" s="91">
        <v>40</v>
      </c>
      <c r="J965" s="91">
        <v>197546.64</v>
      </c>
    </row>
    <row r="966" spans="1:10">
      <c r="A966" t="s">
        <v>826</v>
      </c>
      <c r="B966" t="s">
        <v>827</v>
      </c>
      <c r="C966" t="s">
        <v>11</v>
      </c>
      <c r="D966" t="s">
        <v>634</v>
      </c>
      <c r="E966" t="s">
        <v>640</v>
      </c>
      <c r="F966" t="s">
        <v>23</v>
      </c>
      <c r="G966" s="91">
        <v>4938.666</v>
      </c>
      <c r="H966" s="91"/>
      <c r="I966" s="91">
        <v>16.9999995950323</v>
      </c>
      <c r="J966" s="91">
        <v>83957.32</v>
      </c>
    </row>
    <row r="967" spans="1:10">
      <c r="A967" t="s">
        <v>826</v>
      </c>
      <c r="B967" t="s">
        <v>827</v>
      </c>
      <c r="C967" t="s">
        <v>20</v>
      </c>
      <c r="D967" t="s">
        <v>636</v>
      </c>
      <c r="E967" t="s">
        <v>641</v>
      </c>
      <c r="F967" t="s">
        <v>23</v>
      </c>
      <c r="G967" s="91">
        <v>2469.333</v>
      </c>
      <c r="H967" s="91"/>
      <c r="I967" s="91">
        <v>59.000001214903</v>
      </c>
      <c r="J967" s="91">
        <v>145690.65</v>
      </c>
    </row>
    <row r="968" spans="1:10">
      <c r="A968" t="s">
        <v>828</v>
      </c>
      <c r="B968" t="s">
        <v>829</v>
      </c>
      <c r="C968" t="s">
        <v>11</v>
      </c>
      <c r="D968" t="s">
        <v>634</v>
      </c>
      <c r="E968" t="s">
        <v>650</v>
      </c>
      <c r="F968" t="s">
        <v>23</v>
      </c>
      <c r="G968" s="91">
        <v>1976.888</v>
      </c>
      <c r="H968" s="91"/>
      <c r="I968" s="91">
        <v>17.9999979766178</v>
      </c>
      <c r="J968" s="91">
        <v>35583.98</v>
      </c>
    </row>
    <row r="969" spans="1:10">
      <c r="A969" t="s">
        <v>828</v>
      </c>
      <c r="B969" t="s">
        <v>829</v>
      </c>
      <c r="C969" t="s">
        <v>20</v>
      </c>
      <c r="D969" t="s">
        <v>636</v>
      </c>
      <c r="E969" t="s">
        <v>644</v>
      </c>
      <c r="F969" t="s">
        <v>23</v>
      </c>
      <c r="G969" s="91">
        <v>988.444</v>
      </c>
      <c r="H969" s="91"/>
      <c r="I969" s="91">
        <v>102.999997976618</v>
      </c>
      <c r="J969" s="91">
        <v>101809.73</v>
      </c>
    </row>
    <row r="970" spans="1:10">
      <c r="A970" t="s">
        <v>830</v>
      </c>
      <c r="B970" t="s">
        <v>831</v>
      </c>
      <c r="C970" t="s">
        <v>11</v>
      </c>
      <c r="D970" t="s">
        <v>634</v>
      </c>
      <c r="E970" t="s">
        <v>635</v>
      </c>
      <c r="F970" t="s">
        <v>23</v>
      </c>
      <c r="G970" s="91">
        <v>988.444</v>
      </c>
      <c r="H970" s="91"/>
      <c r="I970" s="91">
        <v>15.9999959532356</v>
      </c>
      <c r="J970" s="91">
        <v>15815.1</v>
      </c>
    </row>
    <row r="971" spans="1:10">
      <c r="A971" t="s">
        <v>830</v>
      </c>
      <c r="B971" t="s">
        <v>831</v>
      </c>
      <c r="C971" t="s">
        <v>11</v>
      </c>
      <c r="D971" t="s">
        <v>634</v>
      </c>
      <c r="E971" t="s">
        <v>640</v>
      </c>
      <c r="F971" t="s">
        <v>23</v>
      </c>
      <c r="G971" s="91">
        <v>988.444</v>
      </c>
      <c r="H971" s="91"/>
      <c r="I971" s="91">
        <v>17.0000020233822</v>
      </c>
      <c r="J971" s="91">
        <v>16803.55</v>
      </c>
    </row>
    <row r="972" spans="1:10">
      <c r="A972" t="s">
        <v>830</v>
      </c>
      <c r="B972" t="s">
        <v>831</v>
      </c>
      <c r="C972" t="s">
        <v>20</v>
      </c>
      <c r="D972" t="s">
        <v>636</v>
      </c>
      <c r="E972" t="s">
        <v>647</v>
      </c>
      <c r="F972" t="s">
        <v>23</v>
      </c>
      <c r="G972" s="91">
        <v>494.222</v>
      </c>
      <c r="H972" s="91"/>
      <c r="I972" s="91">
        <v>63.0000080935288</v>
      </c>
      <c r="J972" s="91">
        <v>31135.99</v>
      </c>
    </row>
    <row r="973" spans="1:10">
      <c r="A973" t="s">
        <v>832</v>
      </c>
      <c r="B973" t="s">
        <v>833</v>
      </c>
      <c r="C973" t="s">
        <v>11</v>
      </c>
      <c r="D973" t="s">
        <v>634</v>
      </c>
      <c r="E973" t="s">
        <v>640</v>
      </c>
      <c r="F973" t="s">
        <v>23</v>
      </c>
      <c r="G973" s="91">
        <v>988.444</v>
      </c>
      <c r="H973" s="91"/>
      <c r="I973" s="91">
        <v>17.0000020233822</v>
      </c>
      <c r="J973" s="91">
        <v>16803.55</v>
      </c>
    </row>
    <row r="974" spans="1:10">
      <c r="A974" t="s">
        <v>832</v>
      </c>
      <c r="B974" t="s">
        <v>833</v>
      </c>
      <c r="C974" t="s">
        <v>11</v>
      </c>
      <c r="D974" t="s">
        <v>634</v>
      </c>
      <c r="E974" t="s">
        <v>650</v>
      </c>
      <c r="F974" t="s">
        <v>23</v>
      </c>
      <c r="G974" s="91">
        <v>988.444</v>
      </c>
      <c r="H974" s="91"/>
      <c r="I974" s="91">
        <v>17.9999979766178</v>
      </c>
      <c r="J974" s="91">
        <v>17791.99</v>
      </c>
    </row>
    <row r="975" spans="1:10">
      <c r="A975" t="s">
        <v>832</v>
      </c>
      <c r="B975" t="s">
        <v>833</v>
      </c>
      <c r="C975" t="s">
        <v>20</v>
      </c>
      <c r="D975" t="s">
        <v>636</v>
      </c>
      <c r="E975" t="s">
        <v>651</v>
      </c>
      <c r="F975" t="s">
        <v>23</v>
      </c>
      <c r="G975" s="91">
        <v>494.222</v>
      </c>
      <c r="H975" s="91"/>
      <c r="I975" s="91">
        <v>108.000008093529</v>
      </c>
      <c r="J975" s="91">
        <v>53375.98</v>
      </c>
    </row>
    <row r="976" spans="1:10">
      <c r="A976" t="s">
        <v>834</v>
      </c>
      <c r="B976" t="s">
        <v>835</v>
      </c>
      <c r="C976" t="s">
        <v>11</v>
      </c>
      <c r="D976" t="s">
        <v>634</v>
      </c>
      <c r="E976" t="s">
        <v>635</v>
      </c>
      <c r="F976" t="s">
        <v>23</v>
      </c>
      <c r="G976" s="91">
        <v>988.444</v>
      </c>
      <c r="H976" s="91"/>
      <c r="I976" s="91">
        <v>15.9999959532356</v>
      </c>
      <c r="J976" s="91">
        <v>15815.1</v>
      </c>
    </row>
    <row r="977" spans="1:10">
      <c r="A977" t="s">
        <v>834</v>
      </c>
      <c r="B977" t="s">
        <v>835</v>
      </c>
      <c r="C977" t="s">
        <v>11</v>
      </c>
      <c r="D977" t="s">
        <v>634</v>
      </c>
      <c r="E977" t="s">
        <v>650</v>
      </c>
      <c r="F977" t="s">
        <v>23</v>
      </c>
      <c r="G977" s="91">
        <v>988.444</v>
      </c>
      <c r="H977" s="91"/>
      <c r="I977" s="91">
        <v>17.9999979766178</v>
      </c>
      <c r="J977" s="91">
        <v>17791.99</v>
      </c>
    </row>
    <row r="978" spans="1:10">
      <c r="A978" t="s">
        <v>834</v>
      </c>
      <c r="B978" t="s">
        <v>835</v>
      </c>
      <c r="C978" t="s">
        <v>20</v>
      </c>
      <c r="D978" t="s">
        <v>636</v>
      </c>
      <c r="E978" t="s">
        <v>654</v>
      </c>
      <c r="F978" t="s">
        <v>23</v>
      </c>
      <c r="G978" s="91">
        <v>494.222</v>
      </c>
      <c r="H978" s="91"/>
      <c r="I978" s="91">
        <v>109.000004046764</v>
      </c>
      <c r="J978" s="91">
        <v>53870.2</v>
      </c>
    </row>
    <row r="979" spans="1:10">
      <c r="A979" t="s">
        <v>836</v>
      </c>
      <c r="B979" t="s">
        <v>837</v>
      </c>
      <c r="C979" t="s">
        <v>11</v>
      </c>
      <c r="D979" t="s">
        <v>665</v>
      </c>
      <c r="E979" t="s">
        <v>666</v>
      </c>
      <c r="F979" t="s">
        <v>34</v>
      </c>
      <c r="G979" s="91">
        <v>12276.835</v>
      </c>
      <c r="H979" s="91"/>
      <c r="I979" s="91">
        <v>33.3099996864013</v>
      </c>
      <c r="J979" s="91">
        <v>408941.37</v>
      </c>
    </row>
    <row r="980" spans="1:10">
      <c r="A980" t="s">
        <v>836</v>
      </c>
      <c r="B980" t="s">
        <v>837</v>
      </c>
      <c r="C980" t="s">
        <v>11</v>
      </c>
      <c r="D980" t="s">
        <v>12</v>
      </c>
      <c r="E980" t="s">
        <v>13</v>
      </c>
      <c r="F980" t="s">
        <v>14</v>
      </c>
      <c r="G980" s="91">
        <v>623.585</v>
      </c>
      <c r="H980" s="91"/>
      <c r="I980" s="91">
        <v>450</v>
      </c>
      <c r="J980" s="91">
        <v>280613.25</v>
      </c>
    </row>
    <row r="981" spans="1:10">
      <c r="A981" t="s">
        <v>836</v>
      </c>
      <c r="B981" t="s">
        <v>837</v>
      </c>
      <c r="C981" t="s">
        <v>11</v>
      </c>
      <c r="D981" t="s">
        <v>12</v>
      </c>
      <c r="E981" t="s">
        <v>15</v>
      </c>
      <c r="F981" t="s">
        <v>14</v>
      </c>
      <c r="G981" s="91">
        <v>97.435</v>
      </c>
      <c r="H981" s="91"/>
      <c r="I981" s="91">
        <v>600</v>
      </c>
      <c r="J981" s="91">
        <v>58461</v>
      </c>
    </row>
    <row r="982" spans="1:10">
      <c r="A982" t="s">
        <v>836</v>
      </c>
      <c r="B982" t="s">
        <v>837</v>
      </c>
      <c r="C982" t="s">
        <v>11</v>
      </c>
      <c r="D982" t="s">
        <v>12</v>
      </c>
      <c r="E982" t="s">
        <v>28</v>
      </c>
      <c r="F982" t="s">
        <v>14</v>
      </c>
      <c r="G982" s="91">
        <v>29.231</v>
      </c>
      <c r="H982" s="91"/>
      <c r="I982" s="91">
        <v>600</v>
      </c>
      <c r="J982" s="91">
        <v>17538.6</v>
      </c>
    </row>
    <row r="983" spans="1:10">
      <c r="A983" t="s">
        <v>836</v>
      </c>
      <c r="B983" t="s">
        <v>837</v>
      </c>
      <c r="C983" t="s">
        <v>20</v>
      </c>
      <c r="D983" t="s">
        <v>59</v>
      </c>
      <c r="E983" t="s">
        <v>667</v>
      </c>
      <c r="F983" t="s">
        <v>49</v>
      </c>
      <c r="G983" s="91">
        <v>1851.269</v>
      </c>
      <c r="H983" s="91"/>
      <c r="I983" s="91">
        <v>42.00000108034</v>
      </c>
      <c r="J983" s="91">
        <v>77753.3</v>
      </c>
    </row>
    <row r="984" spans="1:10">
      <c r="A984" t="s">
        <v>836</v>
      </c>
      <c r="B984" t="s">
        <v>837</v>
      </c>
      <c r="C984" t="s">
        <v>20</v>
      </c>
      <c r="D984" t="s">
        <v>59</v>
      </c>
      <c r="E984" t="s">
        <v>668</v>
      </c>
      <c r="F984" t="s">
        <v>49</v>
      </c>
      <c r="G984" s="91">
        <v>2494.341</v>
      </c>
      <c r="H984" s="91"/>
      <c r="I984" s="91">
        <v>15.0000020045375</v>
      </c>
      <c r="J984" s="91">
        <v>37415.12</v>
      </c>
    </row>
    <row r="985" spans="1:10">
      <c r="A985" t="s">
        <v>836</v>
      </c>
      <c r="B985" t="s">
        <v>837</v>
      </c>
      <c r="C985" t="s">
        <v>20</v>
      </c>
      <c r="D985" t="s">
        <v>59</v>
      </c>
      <c r="E985" t="s">
        <v>60</v>
      </c>
      <c r="F985" t="s">
        <v>49</v>
      </c>
      <c r="G985" s="91">
        <v>1095.172</v>
      </c>
      <c r="H985" s="91"/>
      <c r="I985" s="91">
        <v>16.9999963476057</v>
      </c>
      <c r="J985" s="91">
        <v>18617.92</v>
      </c>
    </row>
    <row r="986" spans="1:10">
      <c r="A986" t="s">
        <v>836</v>
      </c>
      <c r="B986" t="s">
        <v>837</v>
      </c>
      <c r="C986" t="s">
        <v>20</v>
      </c>
      <c r="D986" t="s">
        <v>106</v>
      </c>
      <c r="E986" t="s">
        <v>838</v>
      </c>
      <c r="F986" t="s">
        <v>108</v>
      </c>
      <c r="G986" s="91">
        <v>1987.678</v>
      </c>
      <c r="H986" s="91"/>
      <c r="I986" s="91">
        <v>5700</v>
      </c>
      <c r="J986" s="91">
        <v>11329764.6</v>
      </c>
    </row>
    <row r="987" spans="1:10">
      <c r="A987" t="s">
        <v>839</v>
      </c>
      <c r="B987" t="s">
        <v>840</v>
      </c>
      <c r="C987" t="s">
        <v>11</v>
      </c>
      <c r="D987" t="s">
        <v>24</v>
      </c>
      <c r="E987" t="s">
        <v>604</v>
      </c>
      <c r="F987" t="s">
        <v>34</v>
      </c>
      <c r="G987" s="91">
        <v>4054.761</v>
      </c>
      <c r="H987" s="91"/>
      <c r="I987" s="91">
        <v>50</v>
      </c>
      <c r="J987" s="91">
        <v>202738.05</v>
      </c>
    </row>
    <row r="988" spans="1:10">
      <c r="A988" t="s">
        <v>839</v>
      </c>
      <c r="B988" t="s">
        <v>840</v>
      </c>
      <c r="C988" t="s">
        <v>11</v>
      </c>
      <c r="D988" t="s">
        <v>24</v>
      </c>
      <c r="E988" t="s">
        <v>605</v>
      </c>
      <c r="F988" t="s">
        <v>34</v>
      </c>
      <c r="G988" s="91">
        <v>828.388</v>
      </c>
      <c r="H988" s="91"/>
      <c r="I988" s="91">
        <v>80</v>
      </c>
      <c r="J988" s="91">
        <v>66271.04</v>
      </c>
    </row>
    <row r="989" spans="1:10">
      <c r="A989" t="s">
        <v>839</v>
      </c>
      <c r="B989" t="s">
        <v>840</v>
      </c>
      <c r="C989" t="s">
        <v>11</v>
      </c>
      <c r="D989" t="s">
        <v>24</v>
      </c>
      <c r="E989" t="s">
        <v>606</v>
      </c>
      <c r="F989" t="s">
        <v>34</v>
      </c>
      <c r="G989" s="91">
        <v>4054.761</v>
      </c>
      <c r="H989" s="91"/>
      <c r="I989" s="91">
        <v>271.999999506753</v>
      </c>
      <c r="J989" s="91">
        <v>1102894.99</v>
      </c>
    </row>
    <row r="990" spans="1:10">
      <c r="A990" t="s">
        <v>839</v>
      </c>
      <c r="B990" t="s">
        <v>840</v>
      </c>
      <c r="C990" t="s">
        <v>20</v>
      </c>
      <c r="D990" t="s">
        <v>47</v>
      </c>
      <c r="E990" t="s">
        <v>50</v>
      </c>
      <c r="F990" t="s">
        <v>49</v>
      </c>
      <c r="G990" s="91">
        <v>121.643</v>
      </c>
      <c r="H990" s="91"/>
      <c r="I990" s="91">
        <v>60</v>
      </c>
      <c r="J990" s="91">
        <v>7298.58</v>
      </c>
    </row>
    <row r="991" spans="1:10">
      <c r="A991" t="s">
        <v>839</v>
      </c>
      <c r="B991" t="s">
        <v>840</v>
      </c>
      <c r="C991" t="s">
        <v>20</v>
      </c>
      <c r="D991" t="s">
        <v>61</v>
      </c>
      <c r="E991" t="s">
        <v>78</v>
      </c>
      <c r="F991" t="s">
        <v>49</v>
      </c>
      <c r="G991" s="91">
        <v>113.506</v>
      </c>
      <c r="H991" s="91"/>
      <c r="I991" s="91">
        <v>95</v>
      </c>
      <c r="J991" s="91">
        <v>10783.07</v>
      </c>
    </row>
    <row r="992" spans="1:10">
      <c r="A992" t="s">
        <v>839</v>
      </c>
      <c r="B992" t="s">
        <v>840</v>
      </c>
      <c r="C992" t="s">
        <v>20</v>
      </c>
      <c r="D992" t="s">
        <v>61</v>
      </c>
      <c r="E992" t="s">
        <v>607</v>
      </c>
      <c r="F992" t="s">
        <v>23</v>
      </c>
      <c r="G992" s="91">
        <v>45.403</v>
      </c>
      <c r="H992" s="91"/>
      <c r="I992" s="91">
        <v>115.200096909896</v>
      </c>
      <c r="J992" s="91">
        <v>5230.43</v>
      </c>
    </row>
    <row r="993" spans="1:10">
      <c r="A993" t="s">
        <v>839</v>
      </c>
      <c r="B993" t="s">
        <v>840</v>
      </c>
      <c r="C993" t="s">
        <v>20</v>
      </c>
      <c r="D993" t="s">
        <v>84</v>
      </c>
      <c r="E993" t="s">
        <v>86</v>
      </c>
      <c r="F993" t="s">
        <v>49</v>
      </c>
      <c r="G993" s="91">
        <v>81.095</v>
      </c>
      <c r="H993" s="91"/>
      <c r="I993" s="91">
        <v>60</v>
      </c>
      <c r="J993" s="91">
        <v>4865.7</v>
      </c>
    </row>
    <row r="994" spans="1:10">
      <c r="A994" t="s">
        <v>839</v>
      </c>
      <c r="B994" t="s">
        <v>840</v>
      </c>
      <c r="C994" t="s">
        <v>20</v>
      </c>
      <c r="D994" t="s">
        <v>84</v>
      </c>
      <c r="E994" t="s">
        <v>88</v>
      </c>
      <c r="F994" t="s">
        <v>49</v>
      </c>
      <c r="G994" s="91">
        <v>162.19</v>
      </c>
      <c r="H994" s="91"/>
      <c r="I994" s="91">
        <v>60</v>
      </c>
      <c r="J994" s="91">
        <v>9731.4</v>
      </c>
    </row>
    <row r="995" spans="1:10">
      <c r="A995" t="s">
        <v>839</v>
      </c>
      <c r="B995" t="s">
        <v>840</v>
      </c>
      <c r="C995" t="s">
        <v>20</v>
      </c>
      <c r="D995" t="s">
        <v>84</v>
      </c>
      <c r="E995" t="s">
        <v>89</v>
      </c>
      <c r="F995" t="s">
        <v>49</v>
      </c>
      <c r="G995" s="91">
        <v>162.19</v>
      </c>
      <c r="H995" s="91"/>
      <c r="I995" s="91">
        <v>60</v>
      </c>
      <c r="J995" s="91">
        <v>9731.4</v>
      </c>
    </row>
    <row r="996" spans="1:10">
      <c r="A996" t="s">
        <v>839</v>
      </c>
      <c r="B996" t="s">
        <v>840</v>
      </c>
      <c r="C996" t="s">
        <v>20</v>
      </c>
      <c r="D996" t="s">
        <v>84</v>
      </c>
      <c r="E996" t="s">
        <v>608</v>
      </c>
      <c r="F996" t="s">
        <v>100</v>
      </c>
      <c r="G996" s="91">
        <v>5453.654</v>
      </c>
      <c r="H996" s="91"/>
      <c r="I996" s="91">
        <v>67.0000003667266</v>
      </c>
      <c r="J996" s="91">
        <v>365394.82</v>
      </c>
    </row>
    <row r="997" spans="1:10">
      <c r="A997" t="s">
        <v>839</v>
      </c>
      <c r="B997" t="s">
        <v>840</v>
      </c>
      <c r="C997" t="s">
        <v>20</v>
      </c>
      <c r="D997" t="s">
        <v>84</v>
      </c>
      <c r="E997" t="s">
        <v>609</v>
      </c>
      <c r="F997" t="s">
        <v>63</v>
      </c>
      <c r="G997" s="91">
        <v>162.19</v>
      </c>
      <c r="H997" s="91"/>
      <c r="I997" s="91">
        <v>135</v>
      </c>
      <c r="J997" s="91">
        <v>21895.65</v>
      </c>
    </row>
    <row r="998" spans="1:10">
      <c r="A998" t="s">
        <v>839</v>
      </c>
      <c r="B998" t="s">
        <v>840</v>
      </c>
      <c r="C998" t="s">
        <v>20</v>
      </c>
      <c r="D998" t="s">
        <v>84</v>
      </c>
      <c r="E998" t="s">
        <v>610</v>
      </c>
      <c r="F998" t="s">
        <v>611</v>
      </c>
      <c r="G998" s="91">
        <v>373.038</v>
      </c>
      <c r="H998" s="91"/>
      <c r="I998" s="91">
        <v>395</v>
      </c>
      <c r="J998" s="91">
        <v>147350.01</v>
      </c>
    </row>
    <row r="999" spans="1:10">
      <c r="A999" t="s">
        <v>839</v>
      </c>
      <c r="B999" t="s">
        <v>840</v>
      </c>
      <c r="C999" t="s">
        <v>20</v>
      </c>
      <c r="D999" t="s">
        <v>84</v>
      </c>
      <c r="E999" t="s">
        <v>612</v>
      </c>
      <c r="F999" t="s">
        <v>611</v>
      </c>
      <c r="G999" s="91">
        <v>291.943</v>
      </c>
      <c r="H999" s="91"/>
      <c r="I999" s="91">
        <v>295.000017126631</v>
      </c>
      <c r="J999" s="91">
        <v>86123.19</v>
      </c>
    </row>
    <row r="1000" spans="1:10">
      <c r="A1000" t="s">
        <v>841</v>
      </c>
      <c r="B1000" t="s">
        <v>842</v>
      </c>
      <c r="C1000" t="s">
        <v>20</v>
      </c>
      <c r="D1000" t="s">
        <v>47</v>
      </c>
      <c r="E1000" t="s">
        <v>48</v>
      </c>
      <c r="F1000" t="s">
        <v>49</v>
      </c>
      <c r="G1000" s="91">
        <v>2189.916</v>
      </c>
      <c r="H1000" s="91"/>
      <c r="I1000" s="91">
        <v>75</v>
      </c>
      <c r="J1000" s="91">
        <v>164243.7</v>
      </c>
    </row>
    <row r="1001" spans="1:10">
      <c r="A1001" t="s">
        <v>841</v>
      </c>
      <c r="B1001" t="s">
        <v>842</v>
      </c>
      <c r="C1001" t="s">
        <v>20</v>
      </c>
      <c r="D1001" t="s">
        <v>624</v>
      </c>
      <c r="E1001" t="s">
        <v>625</v>
      </c>
      <c r="F1001" t="s">
        <v>23</v>
      </c>
      <c r="G1001" s="91">
        <v>5474.79</v>
      </c>
      <c r="H1001" s="91"/>
      <c r="I1001" s="91">
        <v>0.799999634689184</v>
      </c>
      <c r="J1001" s="91">
        <v>4379.83</v>
      </c>
    </row>
    <row r="1002" spans="1:10">
      <c r="A1002" t="s">
        <v>841</v>
      </c>
      <c r="B1002" t="s">
        <v>842</v>
      </c>
      <c r="C1002" t="s">
        <v>20</v>
      </c>
      <c r="D1002" t="s">
        <v>624</v>
      </c>
      <c r="E1002" t="s">
        <v>626</v>
      </c>
      <c r="F1002" t="s">
        <v>23</v>
      </c>
      <c r="G1002" s="91">
        <v>5474.79</v>
      </c>
      <c r="H1002" s="91"/>
      <c r="I1002" s="91">
        <v>0.899999817344592</v>
      </c>
      <c r="J1002" s="91">
        <v>4927.31</v>
      </c>
    </row>
    <row r="1003" spans="1:10">
      <c r="A1003" t="s">
        <v>841</v>
      </c>
      <c r="B1003" t="s">
        <v>842</v>
      </c>
      <c r="C1003" t="s">
        <v>20</v>
      </c>
      <c r="D1003" t="s">
        <v>624</v>
      </c>
      <c r="E1003" t="s">
        <v>627</v>
      </c>
      <c r="F1003" t="s">
        <v>23</v>
      </c>
      <c r="G1003" s="91">
        <v>5474.79</v>
      </c>
      <c r="H1003" s="91"/>
      <c r="I1003" s="91">
        <v>3.10000018265541</v>
      </c>
      <c r="J1003" s="91">
        <v>16971.85</v>
      </c>
    </row>
    <row r="1004" spans="1:10">
      <c r="A1004" t="s">
        <v>841</v>
      </c>
      <c r="B1004" t="s">
        <v>842</v>
      </c>
      <c r="C1004" t="s">
        <v>20</v>
      </c>
      <c r="D1004" t="s">
        <v>624</v>
      </c>
      <c r="E1004" t="s">
        <v>628</v>
      </c>
      <c r="F1004" t="s">
        <v>23</v>
      </c>
      <c r="G1004" s="91">
        <v>6843.488</v>
      </c>
      <c r="H1004" s="91"/>
      <c r="I1004" s="91">
        <v>3.09999959085192</v>
      </c>
      <c r="J1004" s="91">
        <v>21214.81</v>
      </c>
    </row>
    <row r="1005" spans="1:10">
      <c r="A1005" t="s">
        <v>841</v>
      </c>
      <c r="B1005" t="s">
        <v>842</v>
      </c>
      <c r="C1005" t="s">
        <v>11</v>
      </c>
      <c r="D1005" t="s">
        <v>630</v>
      </c>
      <c r="E1005" t="s">
        <v>631</v>
      </c>
      <c r="F1005" t="s">
        <v>17</v>
      </c>
      <c r="G1005" s="91">
        <v>182.493</v>
      </c>
      <c r="H1005" s="91"/>
      <c r="I1005" s="91">
        <v>9380</v>
      </c>
      <c r="J1005" s="91">
        <v>1711784.34</v>
      </c>
    </row>
    <row r="1006" spans="1:10">
      <c r="A1006" t="s">
        <v>843</v>
      </c>
      <c r="B1006" t="s">
        <v>844</v>
      </c>
      <c r="C1006" t="s">
        <v>20</v>
      </c>
      <c r="D1006" t="s">
        <v>47</v>
      </c>
      <c r="E1006" t="s">
        <v>48</v>
      </c>
      <c r="F1006" t="s">
        <v>49</v>
      </c>
      <c r="G1006" s="91">
        <v>2827.956</v>
      </c>
      <c r="H1006" s="91"/>
      <c r="I1006" s="91">
        <v>75</v>
      </c>
      <c r="J1006" s="91">
        <v>212096.7</v>
      </c>
    </row>
    <row r="1007" spans="1:10">
      <c r="A1007" t="s">
        <v>843</v>
      </c>
      <c r="B1007" t="s">
        <v>844</v>
      </c>
      <c r="C1007" t="s">
        <v>20</v>
      </c>
      <c r="D1007" t="s">
        <v>624</v>
      </c>
      <c r="E1007" t="s">
        <v>625</v>
      </c>
      <c r="F1007" t="s">
        <v>23</v>
      </c>
      <c r="G1007" s="91">
        <v>7069.89</v>
      </c>
      <c r="H1007" s="91"/>
      <c r="I1007" s="91">
        <v>0.799999717110167</v>
      </c>
      <c r="J1007" s="91">
        <v>5655.91</v>
      </c>
    </row>
    <row r="1008" spans="1:10">
      <c r="A1008" t="s">
        <v>843</v>
      </c>
      <c r="B1008" t="s">
        <v>844</v>
      </c>
      <c r="C1008" t="s">
        <v>20</v>
      </c>
      <c r="D1008" t="s">
        <v>624</v>
      </c>
      <c r="E1008" t="s">
        <v>626</v>
      </c>
      <c r="F1008" t="s">
        <v>23</v>
      </c>
      <c r="G1008" s="91">
        <v>7069.89</v>
      </c>
      <c r="H1008" s="91"/>
      <c r="I1008" s="91">
        <v>0.899999858555083</v>
      </c>
      <c r="J1008" s="91">
        <v>6362.9</v>
      </c>
    </row>
    <row r="1009" spans="1:10">
      <c r="A1009" t="s">
        <v>843</v>
      </c>
      <c r="B1009" t="s">
        <v>844</v>
      </c>
      <c r="C1009" t="s">
        <v>20</v>
      </c>
      <c r="D1009" t="s">
        <v>624</v>
      </c>
      <c r="E1009" t="s">
        <v>627</v>
      </c>
      <c r="F1009" t="s">
        <v>23</v>
      </c>
      <c r="G1009" s="91">
        <v>7069.89</v>
      </c>
      <c r="H1009" s="91"/>
      <c r="I1009" s="91">
        <v>3.10000014144492</v>
      </c>
      <c r="J1009" s="91">
        <v>21916.66</v>
      </c>
    </row>
    <row r="1010" spans="1:10">
      <c r="A1010" t="s">
        <v>843</v>
      </c>
      <c r="B1010" t="s">
        <v>844</v>
      </c>
      <c r="C1010" t="s">
        <v>20</v>
      </c>
      <c r="D1010" t="s">
        <v>624</v>
      </c>
      <c r="E1010" t="s">
        <v>628</v>
      </c>
      <c r="F1010" t="s">
        <v>23</v>
      </c>
      <c r="G1010" s="91">
        <v>8837.363</v>
      </c>
      <c r="H1010" s="91"/>
      <c r="I1010" s="91">
        <v>3.10000053183286</v>
      </c>
      <c r="J1010" s="91">
        <v>27395.83</v>
      </c>
    </row>
    <row r="1011" spans="1:10">
      <c r="A1011" t="s">
        <v>843</v>
      </c>
      <c r="B1011" t="s">
        <v>844</v>
      </c>
      <c r="C1011" t="s">
        <v>11</v>
      </c>
      <c r="D1011" t="s">
        <v>630</v>
      </c>
      <c r="E1011" t="s">
        <v>631</v>
      </c>
      <c r="F1011" t="s">
        <v>17</v>
      </c>
      <c r="G1011" s="91">
        <v>235.663</v>
      </c>
      <c r="H1011" s="91"/>
      <c r="I1011" s="91">
        <v>9380</v>
      </c>
      <c r="J1011" s="91">
        <v>2210518.94</v>
      </c>
    </row>
    <row r="1012" spans="1:10">
      <c r="A1012" t="s">
        <v>845</v>
      </c>
      <c r="B1012" t="s">
        <v>846</v>
      </c>
      <c r="C1012" t="s">
        <v>20</v>
      </c>
      <c r="D1012" t="s">
        <v>47</v>
      </c>
      <c r="E1012" t="s">
        <v>48</v>
      </c>
      <c r="F1012" t="s">
        <v>49</v>
      </c>
      <c r="G1012" s="91">
        <v>2727.696</v>
      </c>
      <c r="H1012" s="91"/>
      <c r="I1012" s="91">
        <v>75</v>
      </c>
      <c r="J1012" s="91">
        <v>204577.2</v>
      </c>
    </row>
    <row r="1013" spans="1:10">
      <c r="A1013" t="s">
        <v>845</v>
      </c>
      <c r="B1013" t="s">
        <v>846</v>
      </c>
      <c r="C1013" t="s">
        <v>20</v>
      </c>
      <c r="D1013" t="s">
        <v>624</v>
      </c>
      <c r="E1013" t="s">
        <v>625</v>
      </c>
      <c r="F1013" t="s">
        <v>23</v>
      </c>
      <c r="G1013" s="91">
        <v>6819.24</v>
      </c>
      <c r="H1013" s="91"/>
      <c r="I1013" s="91">
        <v>0.799999706712185</v>
      </c>
      <c r="J1013" s="91">
        <v>5455.39</v>
      </c>
    </row>
    <row r="1014" spans="1:10">
      <c r="A1014" t="s">
        <v>845</v>
      </c>
      <c r="B1014" t="s">
        <v>846</v>
      </c>
      <c r="C1014" t="s">
        <v>20</v>
      </c>
      <c r="D1014" t="s">
        <v>624</v>
      </c>
      <c r="E1014" t="s">
        <v>626</v>
      </c>
      <c r="F1014" t="s">
        <v>23</v>
      </c>
      <c r="G1014" s="91">
        <v>6819.24</v>
      </c>
      <c r="H1014" s="91"/>
      <c r="I1014" s="91">
        <v>0.90000058657563</v>
      </c>
      <c r="J1014" s="91">
        <v>6137.32</v>
      </c>
    </row>
    <row r="1015" spans="1:10">
      <c r="A1015" t="s">
        <v>845</v>
      </c>
      <c r="B1015" t="s">
        <v>846</v>
      </c>
      <c r="C1015" t="s">
        <v>20</v>
      </c>
      <c r="D1015" t="s">
        <v>624</v>
      </c>
      <c r="E1015" t="s">
        <v>627</v>
      </c>
      <c r="F1015" t="s">
        <v>23</v>
      </c>
      <c r="G1015" s="91">
        <v>6819.24</v>
      </c>
      <c r="H1015" s="91"/>
      <c r="I1015" s="91">
        <v>3.09999941342437</v>
      </c>
      <c r="J1015" s="91">
        <v>21139.64</v>
      </c>
    </row>
    <row r="1016" spans="1:10">
      <c r="A1016" t="s">
        <v>845</v>
      </c>
      <c r="B1016" t="s">
        <v>846</v>
      </c>
      <c r="C1016" t="s">
        <v>20</v>
      </c>
      <c r="D1016" t="s">
        <v>624</v>
      </c>
      <c r="E1016" t="s">
        <v>628</v>
      </c>
      <c r="F1016" t="s">
        <v>23</v>
      </c>
      <c r="G1016" s="91">
        <v>8524.05</v>
      </c>
      <c r="H1016" s="91"/>
      <c r="I1016" s="91">
        <v>3.10000058657563</v>
      </c>
      <c r="J1016" s="91">
        <v>26424.56</v>
      </c>
    </row>
    <row r="1017" spans="1:10">
      <c r="A1017" t="s">
        <v>845</v>
      </c>
      <c r="B1017" t="s">
        <v>846</v>
      </c>
      <c r="C1017" t="s">
        <v>11</v>
      </c>
      <c r="D1017" t="s">
        <v>630</v>
      </c>
      <c r="E1017" t="s">
        <v>631</v>
      </c>
      <c r="F1017" t="s">
        <v>17</v>
      </c>
      <c r="G1017" s="91">
        <v>227.308</v>
      </c>
      <c r="H1017" s="91"/>
      <c r="I1017" s="91">
        <v>9380</v>
      </c>
      <c r="J1017" s="91">
        <v>2132149.04</v>
      </c>
    </row>
    <row r="1018" spans="1:10">
      <c r="A1018" t="s">
        <v>847</v>
      </c>
      <c r="B1018" t="s">
        <v>848</v>
      </c>
      <c r="C1018" t="s">
        <v>20</v>
      </c>
      <c r="D1018" t="s">
        <v>47</v>
      </c>
      <c r="E1018" t="s">
        <v>48</v>
      </c>
      <c r="F1018" t="s">
        <v>49</v>
      </c>
      <c r="G1018" s="91">
        <v>2627.604</v>
      </c>
      <c r="H1018" s="91"/>
      <c r="I1018" s="91">
        <v>75</v>
      </c>
      <c r="J1018" s="91">
        <v>197070.3</v>
      </c>
    </row>
    <row r="1019" spans="1:10">
      <c r="A1019" t="s">
        <v>847</v>
      </c>
      <c r="B1019" t="s">
        <v>848</v>
      </c>
      <c r="C1019" t="s">
        <v>20</v>
      </c>
      <c r="D1019" t="s">
        <v>624</v>
      </c>
      <c r="E1019" t="s">
        <v>625</v>
      </c>
      <c r="F1019" t="s">
        <v>23</v>
      </c>
      <c r="G1019" s="91">
        <v>6569.01</v>
      </c>
      <c r="H1019" s="91"/>
      <c r="I1019" s="91">
        <v>0.800000304459881</v>
      </c>
      <c r="J1019" s="91">
        <v>5255.21</v>
      </c>
    </row>
    <row r="1020" spans="1:10">
      <c r="A1020" t="s">
        <v>847</v>
      </c>
      <c r="B1020" t="s">
        <v>848</v>
      </c>
      <c r="C1020" t="s">
        <v>20</v>
      </c>
      <c r="D1020" t="s">
        <v>624</v>
      </c>
      <c r="E1020" t="s">
        <v>626</v>
      </c>
      <c r="F1020" t="s">
        <v>23</v>
      </c>
      <c r="G1020" s="91">
        <v>6569.01</v>
      </c>
      <c r="H1020" s="91"/>
      <c r="I1020" s="91">
        <v>0.90000015222994</v>
      </c>
      <c r="J1020" s="91">
        <v>5912.11</v>
      </c>
    </row>
    <row r="1021" spans="1:10">
      <c r="A1021" t="s">
        <v>847</v>
      </c>
      <c r="B1021" t="s">
        <v>848</v>
      </c>
      <c r="C1021" t="s">
        <v>20</v>
      </c>
      <c r="D1021" t="s">
        <v>624</v>
      </c>
      <c r="E1021" t="s">
        <v>627</v>
      </c>
      <c r="F1021" t="s">
        <v>23</v>
      </c>
      <c r="G1021" s="91">
        <v>6569.01</v>
      </c>
      <c r="H1021" s="91"/>
      <c r="I1021" s="91">
        <v>3.09999984777006</v>
      </c>
      <c r="J1021" s="91">
        <v>20363.93</v>
      </c>
    </row>
    <row r="1022" spans="1:10">
      <c r="A1022" t="s">
        <v>847</v>
      </c>
      <c r="B1022" t="s">
        <v>848</v>
      </c>
      <c r="C1022" t="s">
        <v>20</v>
      </c>
      <c r="D1022" t="s">
        <v>624</v>
      </c>
      <c r="E1022" t="s">
        <v>628</v>
      </c>
      <c r="F1022" t="s">
        <v>23</v>
      </c>
      <c r="G1022" s="91">
        <v>8211.263</v>
      </c>
      <c r="H1022" s="91"/>
      <c r="I1022" s="91">
        <v>3.10000057238454</v>
      </c>
      <c r="J1022" s="91">
        <v>25454.92</v>
      </c>
    </row>
    <row r="1023" spans="1:10">
      <c r="A1023" t="s">
        <v>847</v>
      </c>
      <c r="B1023" t="s">
        <v>848</v>
      </c>
      <c r="C1023" t="s">
        <v>11</v>
      </c>
      <c r="D1023" t="s">
        <v>630</v>
      </c>
      <c r="E1023" t="s">
        <v>631</v>
      </c>
      <c r="F1023" t="s">
        <v>17</v>
      </c>
      <c r="G1023" s="91">
        <v>218.967</v>
      </c>
      <c r="H1023" s="91"/>
      <c r="I1023" s="91">
        <v>9380</v>
      </c>
      <c r="J1023" s="91">
        <v>2053910.46</v>
      </c>
    </row>
    <row r="1024" spans="1:10">
      <c r="A1024" t="s">
        <v>849</v>
      </c>
      <c r="B1024" t="s">
        <v>850</v>
      </c>
      <c r="C1024" t="s">
        <v>20</v>
      </c>
      <c r="D1024" t="s">
        <v>47</v>
      </c>
      <c r="E1024" t="s">
        <v>48</v>
      </c>
      <c r="F1024" t="s">
        <v>49</v>
      </c>
      <c r="G1024" s="91">
        <v>2527.512</v>
      </c>
      <c r="H1024" s="91"/>
      <c r="I1024" s="91">
        <v>75</v>
      </c>
      <c r="J1024" s="91">
        <v>189563.4</v>
      </c>
    </row>
    <row r="1025" spans="1:10">
      <c r="A1025" t="s">
        <v>849</v>
      </c>
      <c r="B1025" t="s">
        <v>850</v>
      </c>
      <c r="C1025" t="s">
        <v>20</v>
      </c>
      <c r="D1025" t="s">
        <v>624</v>
      </c>
      <c r="E1025" t="s">
        <v>625</v>
      </c>
      <c r="F1025" t="s">
        <v>23</v>
      </c>
      <c r="G1025" s="91">
        <v>6318.78</v>
      </c>
      <c r="H1025" s="91"/>
      <c r="I1025" s="91">
        <v>0.799999366966408</v>
      </c>
      <c r="J1025" s="91">
        <v>5055.02</v>
      </c>
    </row>
    <row r="1026" spans="1:10">
      <c r="A1026" t="s">
        <v>849</v>
      </c>
      <c r="B1026" t="s">
        <v>850</v>
      </c>
      <c r="C1026" t="s">
        <v>20</v>
      </c>
      <c r="D1026" t="s">
        <v>624</v>
      </c>
      <c r="E1026" t="s">
        <v>626</v>
      </c>
      <c r="F1026" t="s">
        <v>23</v>
      </c>
      <c r="G1026" s="91">
        <v>6318.78</v>
      </c>
      <c r="H1026" s="91"/>
      <c r="I1026" s="91">
        <v>0.899999683483204</v>
      </c>
      <c r="J1026" s="91">
        <v>5686.9</v>
      </c>
    </row>
    <row r="1027" spans="1:10">
      <c r="A1027" t="s">
        <v>849</v>
      </c>
      <c r="B1027" t="s">
        <v>850</v>
      </c>
      <c r="C1027" t="s">
        <v>20</v>
      </c>
      <c r="D1027" t="s">
        <v>624</v>
      </c>
      <c r="E1027" t="s">
        <v>627</v>
      </c>
      <c r="F1027" t="s">
        <v>23</v>
      </c>
      <c r="G1027" s="91">
        <v>6318.78</v>
      </c>
      <c r="H1027" s="91"/>
      <c r="I1027" s="91">
        <v>3.1000003165168</v>
      </c>
      <c r="J1027" s="91">
        <v>19588.22</v>
      </c>
    </row>
    <row r="1028" spans="1:10">
      <c r="A1028" t="s">
        <v>849</v>
      </c>
      <c r="B1028" t="s">
        <v>850</v>
      </c>
      <c r="C1028" t="s">
        <v>20</v>
      </c>
      <c r="D1028" t="s">
        <v>624</v>
      </c>
      <c r="E1028" t="s">
        <v>628</v>
      </c>
      <c r="F1028" t="s">
        <v>23</v>
      </c>
      <c r="G1028" s="91">
        <v>7898.475</v>
      </c>
      <c r="H1028" s="91"/>
      <c r="I1028" s="91">
        <v>3.0999996834832</v>
      </c>
      <c r="J1028" s="91">
        <v>24485.27</v>
      </c>
    </row>
    <row r="1029" spans="1:10">
      <c r="A1029" t="s">
        <v>849</v>
      </c>
      <c r="B1029" t="s">
        <v>850</v>
      </c>
      <c r="C1029" t="s">
        <v>11</v>
      </c>
      <c r="D1029" t="s">
        <v>630</v>
      </c>
      <c r="E1029" t="s">
        <v>631</v>
      </c>
      <c r="F1029" t="s">
        <v>17</v>
      </c>
      <c r="G1029" s="91">
        <v>210.626</v>
      </c>
      <c r="H1029" s="91"/>
      <c r="I1029" s="91">
        <v>9380</v>
      </c>
      <c r="J1029" s="91">
        <v>1975671.88</v>
      </c>
    </row>
    <row r="1030" spans="1:10">
      <c r="A1030" t="s">
        <v>851</v>
      </c>
      <c r="B1030" t="s">
        <v>852</v>
      </c>
      <c r="C1030" t="s">
        <v>20</v>
      </c>
      <c r="D1030" t="s">
        <v>47</v>
      </c>
      <c r="E1030" t="s">
        <v>48</v>
      </c>
      <c r="F1030" t="s">
        <v>49</v>
      </c>
      <c r="G1030" s="91">
        <v>2427.42</v>
      </c>
      <c r="H1030" s="91"/>
      <c r="I1030" s="91">
        <v>75</v>
      </c>
      <c r="J1030" s="91">
        <v>182056.5</v>
      </c>
    </row>
    <row r="1031" spans="1:10">
      <c r="A1031" t="s">
        <v>851</v>
      </c>
      <c r="B1031" t="s">
        <v>852</v>
      </c>
      <c r="C1031" t="s">
        <v>20</v>
      </c>
      <c r="D1031" t="s">
        <v>624</v>
      </c>
      <c r="E1031" t="s">
        <v>625</v>
      </c>
      <c r="F1031" t="s">
        <v>23</v>
      </c>
      <c r="G1031" s="91">
        <v>6068.55</v>
      </c>
      <c r="H1031" s="91"/>
      <c r="I1031" s="91">
        <v>0.8</v>
      </c>
      <c r="J1031" s="91">
        <v>4854.84</v>
      </c>
    </row>
    <row r="1032" spans="1:10">
      <c r="A1032" t="s">
        <v>851</v>
      </c>
      <c r="B1032" t="s">
        <v>852</v>
      </c>
      <c r="C1032" t="s">
        <v>20</v>
      </c>
      <c r="D1032" t="s">
        <v>624</v>
      </c>
      <c r="E1032" t="s">
        <v>626</v>
      </c>
      <c r="F1032" t="s">
        <v>23</v>
      </c>
      <c r="G1032" s="91">
        <v>6068.55</v>
      </c>
      <c r="H1032" s="91"/>
      <c r="I1032" s="91">
        <v>0.900000823920047</v>
      </c>
      <c r="J1032" s="91">
        <v>5461.7</v>
      </c>
    </row>
    <row r="1033" spans="1:10">
      <c r="A1033" t="s">
        <v>851</v>
      </c>
      <c r="B1033" t="s">
        <v>852</v>
      </c>
      <c r="C1033" t="s">
        <v>20</v>
      </c>
      <c r="D1033" t="s">
        <v>624</v>
      </c>
      <c r="E1033" t="s">
        <v>627</v>
      </c>
      <c r="F1033" t="s">
        <v>23</v>
      </c>
      <c r="G1033" s="91">
        <v>6068.55</v>
      </c>
      <c r="H1033" s="91"/>
      <c r="I1033" s="91">
        <v>3.10000082392005</v>
      </c>
      <c r="J1033" s="91">
        <v>18812.51</v>
      </c>
    </row>
    <row r="1034" spans="1:10">
      <c r="A1034" t="s">
        <v>851</v>
      </c>
      <c r="B1034" t="s">
        <v>852</v>
      </c>
      <c r="C1034" t="s">
        <v>20</v>
      </c>
      <c r="D1034" t="s">
        <v>624</v>
      </c>
      <c r="E1034" t="s">
        <v>628</v>
      </c>
      <c r="F1034" t="s">
        <v>23</v>
      </c>
      <c r="G1034" s="91">
        <v>7585.688</v>
      </c>
      <c r="H1034" s="91"/>
      <c r="I1034" s="91">
        <v>3.09999963088384</v>
      </c>
      <c r="J1034" s="91">
        <v>23515.63</v>
      </c>
    </row>
    <row r="1035" spans="1:10">
      <c r="A1035" t="s">
        <v>851</v>
      </c>
      <c r="B1035" t="s">
        <v>852</v>
      </c>
      <c r="C1035" t="s">
        <v>11</v>
      </c>
      <c r="D1035" t="s">
        <v>630</v>
      </c>
      <c r="E1035" t="s">
        <v>631</v>
      </c>
      <c r="F1035" t="s">
        <v>17</v>
      </c>
      <c r="G1035" s="91">
        <v>202.285</v>
      </c>
      <c r="H1035" s="91"/>
      <c r="I1035" s="91">
        <v>9380</v>
      </c>
      <c r="J1035" s="91">
        <v>1897433.3</v>
      </c>
    </row>
    <row r="1036" spans="1:10">
      <c r="A1036" t="s">
        <v>853</v>
      </c>
      <c r="B1036" t="s">
        <v>854</v>
      </c>
      <c r="C1036" t="s">
        <v>20</v>
      </c>
      <c r="D1036" t="s">
        <v>47</v>
      </c>
      <c r="E1036" t="s">
        <v>48</v>
      </c>
      <c r="F1036" t="s">
        <v>49</v>
      </c>
      <c r="G1036" s="91">
        <v>2327.484</v>
      </c>
      <c r="H1036" s="91"/>
      <c r="I1036" s="91">
        <v>75</v>
      </c>
      <c r="J1036" s="91">
        <v>174561.3</v>
      </c>
    </row>
    <row r="1037" spans="1:10">
      <c r="A1037" t="s">
        <v>853</v>
      </c>
      <c r="B1037" t="s">
        <v>854</v>
      </c>
      <c r="C1037" t="s">
        <v>20</v>
      </c>
      <c r="D1037" t="s">
        <v>624</v>
      </c>
      <c r="E1037" t="s">
        <v>625</v>
      </c>
      <c r="F1037" t="s">
        <v>23</v>
      </c>
      <c r="G1037" s="91">
        <v>5818.71</v>
      </c>
      <c r="H1037" s="91"/>
      <c r="I1037" s="91">
        <v>0.800000343718797</v>
      </c>
      <c r="J1037" s="91">
        <v>4654.97</v>
      </c>
    </row>
    <row r="1038" spans="1:10">
      <c r="A1038" t="s">
        <v>853</v>
      </c>
      <c r="B1038" t="s">
        <v>854</v>
      </c>
      <c r="C1038" t="s">
        <v>20</v>
      </c>
      <c r="D1038" t="s">
        <v>624</v>
      </c>
      <c r="E1038" t="s">
        <v>626</v>
      </c>
      <c r="F1038" t="s">
        <v>23</v>
      </c>
      <c r="G1038" s="91">
        <v>5818.71</v>
      </c>
      <c r="H1038" s="91"/>
      <c r="I1038" s="91">
        <v>0.900000171859398</v>
      </c>
      <c r="J1038" s="91">
        <v>5236.84</v>
      </c>
    </row>
    <row r="1039" spans="1:10">
      <c r="A1039" t="s">
        <v>853</v>
      </c>
      <c r="B1039" t="s">
        <v>854</v>
      </c>
      <c r="C1039" t="s">
        <v>20</v>
      </c>
      <c r="D1039" t="s">
        <v>624</v>
      </c>
      <c r="E1039" t="s">
        <v>627</v>
      </c>
      <c r="F1039" t="s">
        <v>23</v>
      </c>
      <c r="G1039" s="91">
        <v>5818.71</v>
      </c>
      <c r="H1039" s="91"/>
      <c r="I1039" s="91">
        <v>3.0999998281406</v>
      </c>
      <c r="J1039" s="91">
        <v>18038</v>
      </c>
    </row>
    <row r="1040" spans="1:10">
      <c r="A1040" t="s">
        <v>853</v>
      </c>
      <c r="B1040" t="s">
        <v>854</v>
      </c>
      <c r="C1040" t="s">
        <v>20</v>
      </c>
      <c r="D1040" t="s">
        <v>624</v>
      </c>
      <c r="E1040" t="s">
        <v>628</v>
      </c>
      <c r="F1040" t="s">
        <v>23</v>
      </c>
      <c r="G1040" s="91">
        <v>7273.387</v>
      </c>
      <c r="H1040" s="91"/>
      <c r="I1040" s="91">
        <v>3.10000004124626</v>
      </c>
      <c r="J1040" s="91">
        <v>22547.5</v>
      </c>
    </row>
    <row r="1041" spans="1:10">
      <c r="A1041" t="s">
        <v>853</v>
      </c>
      <c r="B1041" t="s">
        <v>854</v>
      </c>
      <c r="C1041" t="s">
        <v>11</v>
      </c>
      <c r="D1041" t="s">
        <v>630</v>
      </c>
      <c r="E1041" t="s">
        <v>631</v>
      </c>
      <c r="F1041" t="s">
        <v>17</v>
      </c>
      <c r="G1041" s="91">
        <v>193.957</v>
      </c>
      <c r="H1041" s="91"/>
      <c r="I1041" s="91">
        <v>9380</v>
      </c>
      <c r="J1041" s="91">
        <v>1819316.66</v>
      </c>
    </row>
    <row r="1042" spans="1:10">
      <c r="A1042" t="s">
        <v>855</v>
      </c>
      <c r="B1042" t="s">
        <v>856</v>
      </c>
      <c r="C1042" t="s">
        <v>20</v>
      </c>
      <c r="D1042" t="s">
        <v>47</v>
      </c>
      <c r="E1042" t="s">
        <v>48</v>
      </c>
      <c r="F1042" t="s">
        <v>49</v>
      </c>
      <c r="G1042" s="91">
        <v>1060.224</v>
      </c>
      <c r="H1042" s="91"/>
      <c r="I1042" s="91">
        <v>75</v>
      </c>
      <c r="J1042" s="91">
        <v>79516.8</v>
      </c>
    </row>
    <row r="1043" spans="1:10">
      <c r="A1043" t="s">
        <v>855</v>
      </c>
      <c r="B1043" t="s">
        <v>856</v>
      </c>
      <c r="C1043" t="s">
        <v>20</v>
      </c>
      <c r="D1043" t="s">
        <v>624</v>
      </c>
      <c r="E1043" t="s">
        <v>625</v>
      </c>
      <c r="F1043" t="s">
        <v>23</v>
      </c>
      <c r="G1043" s="91">
        <v>2650.56</v>
      </c>
      <c r="H1043" s="91"/>
      <c r="I1043" s="91">
        <v>0.800000754557527</v>
      </c>
      <c r="J1043" s="91">
        <v>2120.45</v>
      </c>
    </row>
    <row r="1044" spans="1:10">
      <c r="A1044" t="s">
        <v>855</v>
      </c>
      <c r="B1044" t="s">
        <v>856</v>
      </c>
      <c r="C1044" t="s">
        <v>20</v>
      </c>
      <c r="D1044" t="s">
        <v>624</v>
      </c>
      <c r="E1044" t="s">
        <v>626</v>
      </c>
      <c r="F1044" t="s">
        <v>23</v>
      </c>
      <c r="G1044" s="91">
        <v>2650.56</v>
      </c>
      <c r="H1044" s="91"/>
      <c r="I1044" s="91">
        <v>0.899998490884945</v>
      </c>
      <c r="J1044" s="91">
        <v>2385.5</v>
      </c>
    </row>
    <row r="1045" spans="1:10">
      <c r="A1045" t="s">
        <v>855</v>
      </c>
      <c r="B1045" t="s">
        <v>856</v>
      </c>
      <c r="C1045" t="s">
        <v>20</v>
      </c>
      <c r="D1045" t="s">
        <v>624</v>
      </c>
      <c r="E1045" t="s">
        <v>627</v>
      </c>
      <c r="F1045" t="s">
        <v>23</v>
      </c>
      <c r="G1045" s="91">
        <v>2650.56</v>
      </c>
      <c r="H1045" s="91"/>
      <c r="I1045" s="91">
        <v>3.10000150911505</v>
      </c>
      <c r="J1045" s="91">
        <v>8216.74</v>
      </c>
    </row>
    <row r="1046" spans="1:10">
      <c r="A1046" t="s">
        <v>855</v>
      </c>
      <c r="B1046" t="s">
        <v>856</v>
      </c>
      <c r="C1046" t="s">
        <v>20</v>
      </c>
      <c r="D1046" t="s">
        <v>624</v>
      </c>
      <c r="E1046" t="s">
        <v>628</v>
      </c>
      <c r="F1046" t="s">
        <v>23</v>
      </c>
      <c r="G1046" s="91">
        <v>3313.2</v>
      </c>
      <c r="H1046" s="91"/>
      <c r="I1046" s="91">
        <v>3.1</v>
      </c>
      <c r="J1046" s="91">
        <v>10270.92</v>
      </c>
    </row>
    <row r="1047" spans="1:10">
      <c r="A1047" t="s">
        <v>855</v>
      </c>
      <c r="B1047" t="s">
        <v>856</v>
      </c>
      <c r="C1047" t="s">
        <v>11</v>
      </c>
      <c r="D1047" t="s">
        <v>630</v>
      </c>
      <c r="E1047" t="s">
        <v>631</v>
      </c>
      <c r="F1047" t="s">
        <v>17</v>
      </c>
      <c r="G1047" s="91">
        <v>88.352</v>
      </c>
      <c r="H1047" s="91"/>
      <c r="I1047" s="91">
        <v>9380</v>
      </c>
      <c r="J1047" s="91">
        <v>828741.76</v>
      </c>
    </row>
    <row r="1048" spans="1:10">
      <c r="A1048" t="s">
        <v>857</v>
      </c>
      <c r="B1048" t="s">
        <v>858</v>
      </c>
      <c r="C1048" t="s">
        <v>20</v>
      </c>
      <c r="D1048" t="s">
        <v>47</v>
      </c>
      <c r="E1048" t="s">
        <v>48</v>
      </c>
      <c r="F1048" t="s">
        <v>49</v>
      </c>
      <c r="G1048" s="91">
        <v>2227.224</v>
      </c>
      <c r="H1048" s="91"/>
      <c r="I1048" s="91">
        <v>75</v>
      </c>
      <c r="J1048" s="91">
        <v>167041.8</v>
      </c>
    </row>
    <row r="1049" spans="1:10">
      <c r="A1049" t="s">
        <v>857</v>
      </c>
      <c r="B1049" t="s">
        <v>858</v>
      </c>
      <c r="C1049" t="s">
        <v>20</v>
      </c>
      <c r="D1049" t="s">
        <v>624</v>
      </c>
      <c r="E1049" t="s">
        <v>625</v>
      </c>
      <c r="F1049" t="s">
        <v>23</v>
      </c>
      <c r="G1049" s="91">
        <v>5568.06</v>
      </c>
      <c r="H1049" s="91"/>
      <c r="I1049" s="91">
        <v>0.800000359191532</v>
      </c>
      <c r="J1049" s="91">
        <v>4454.45</v>
      </c>
    </row>
    <row r="1050" spans="1:10">
      <c r="A1050" t="s">
        <v>857</v>
      </c>
      <c r="B1050" t="s">
        <v>858</v>
      </c>
      <c r="C1050" t="s">
        <v>20</v>
      </c>
      <c r="D1050" t="s">
        <v>624</v>
      </c>
      <c r="E1050" t="s">
        <v>626</v>
      </c>
      <c r="F1050" t="s">
        <v>23</v>
      </c>
      <c r="G1050" s="91">
        <v>5568.06</v>
      </c>
      <c r="H1050" s="91"/>
      <c r="I1050" s="91">
        <v>0.899999281616937</v>
      </c>
      <c r="J1050" s="91">
        <v>5011.25</v>
      </c>
    </row>
    <row r="1051" spans="1:10">
      <c r="A1051" t="s">
        <v>857</v>
      </c>
      <c r="B1051" t="s">
        <v>858</v>
      </c>
      <c r="C1051" t="s">
        <v>20</v>
      </c>
      <c r="D1051" t="s">
        <v>624</v>
      </c>
      <c r="E1051" t="s">
        <v>627</v>
      </c>
      <c r="F1051" t="s">
        <v>23</v>
      </c>
      <c r="G1051" s="91">
        <v>5568.06</v>
      </c>
      <c r="H1051" s="91"/>
      <c r="I1051" s="91">
        <v>3.10000071838306</v>
      </c>
      <c r="J1051" s="91">
        <v>17260.99</v>
      </c>
    </row>
    <row r="1052" spans="1:10">
      <c r="A1052" t="s">
        <v>857</v>
      </c>
      <c r="B1052" t="s">
        <v>858</v>
      </c>
      <c r="C1052" t="s">
        <v>20</v>
      </c>
      <c r="D1052" t="s">
        <v>624</v>
      </c>
      <c r="E1052" t="s">
        <v>628</v>
      </c>
      <c r="F1052" t="s">
        <v>23</v>
      </c>
      <c r="G1052" s="91">
        <v>6960.075</v>
      </c>
      <c r="H1052" s="91"/>
      <c r="I1052" s="91">
        <v>3.09999964080847</v>
      </c>
      <c r="J1052" s="91">
        <v>21576.23</v>
      </c>
    </row>
    <row r="1053" spans="1:10">
      <c r="A1053" t="s">
        <v>857</v>
      </c>
      <c r="B1053" t="s">
        <v>858</v>
      </c>
      <c r="C1053" t="s">
        <v>11</v>
      </c>
      <c r="D1053" t="s">
        <v>630</v>
      </c>
      <c r="E1053" t="s">
        <v>631</v>
      </c>
      <c r="F1053" t="s">
        <v>17</v>
      </c>
      <c r="G1053" s="91">
        <v>185.602</v>
      </c>
      <c r="H1053" s="91"/>
      <c r="I1053" s="91">
        <v>9380</v>
      </c>
      <c r="J1053" s="91">
        <v>1740946.76</v>
      </c>
    </row>
    <row r="1054" spans="1:10">
      <c r="A1054" t="s">
        <v>859</v>
      </c>
      <c r="B1054" t="s">
        <v>860</v>
      </c>
      <c r="C1054" t="s">
        <v>11</v>
      </c>
      <c r="D1054" t="s">
        <v>634</v>
      </c>
      <c r="E1054" t="s">
        <v>635</v>
      </c>
      <c r="F1054" t="s">
        <v>23</v>
      </c>
      <c r="G1054" s="91">
        <v>9877.332</v>
      </c>
      <c r="H1054" s="91"/>
      <c r="I1054" s="91">
        <v>15.9999997975162</v>
      </c>
      <c r="J1054" s="91">
        <v>158037.31</v>
      </c>
    </row>
    <row r="1055" spans="1:10">
      <c r="A1055" t="s">
        <v>859</v>
      </c>
      <c r="B1055" t="s">
        <v>860</v>
      </c>
      <c r="C1055" t="s">
        <v>20</v>
      </c>
      <c r="D1055" t="s">
        <v>636</v>
      </c>
      <c r="E1055" t="s">
        <v>637</v>
      </c>
      <c r="F1055" t="s">
        <v>23</v>
      </c>
      <c r="G1055" s="91">
        <v>4938.666</v>
      </c>
      <c r="H1055" s="91"/>
      <c r="I1055" s="91">
        <v>40</v>
      </c>
      <c r="J1055" s="91">
        <v>197546.64</v>
      </c>
    </row>
    <row r="1056" spans="1:10">
      <c r="A1056" t="s">
        <v>861</v>
      </c>
      <c r="B1056" t="s">
        <v>862</v>
      </c>
      <c r="C1056" t="s">
        <v>11</v>
      </c>
      <c r="D1056" t="s">
        <v>634</v>
      </c>
      <c r="E1056" t="s">
        <v>640</v>
      </c>
      <c r="F1056" t="s">
        <v>23</v>
      </c>
      <c r="G1056" s="91">
        <v>4938.666</v>
      </c>
      <c r="H1056" s="91"/>
      <c r="I1056" s="91">
        <v>16.9999995950323</v>
      </c>
      <c r="J1056" s="91">
        <v>83957.32</v>
      </c>
    </row>
    <row r="1057" spans="1:10">
      <c r="A1057" t="s">
        <v>861</v>
      </c>
      <c r="B1057" t="s">
        <v>862</v>
      </c>
      <c r="C1057" t="s">
        <v>20</v>
      </c>
      <c r="D1057" t="s">
        <v>636</v>
      </c>
      <c r="E1057" t="s">
        <v>641</v>
      </c>
      <c r="F1057" t="s">
        <v>23</v>
      </c>
      <c r="G1057" s="91">
        <v>2469.333</v>
      </c>
      <c r="H1057" s="91"/>
      <c r="I1057" s="91">
        <v>59.000001214903</v>
      </c>
      <c r="J1057" s="91">
        <v>145690.65</v>
      </c>
    </row>
    <row r="1058" spans="1:10">
      <c r="A1058" t="s">
        <v>863</v>
      </c>
      <c r="B1058" t="s">
        <v>864</v>
      </c>
      <c r="C1058" t="s">
        <v>11</v>
      </c>
      <c r="D1058" t="s">
        <v>634</v>
      </c>
      <c r="E1058" t="s">
        <v>650</v>
      </c>
      <c r="F1058" t="s">
        <v>23</v>
      </c>
      <c r="G1058" s="91">
        <v>1976.888</v>
      </c>
      <c r="H1058" s="91"/>
      <c r="I1058" s="91">
        <v>17.9999979766178</v>
      </c>
      <c r="J1058" s="91">
        <v>35583.98</v>
      </c>
    </row>
    <row r="1059" spans="1:10">
      <c r="A1059" t="s">
        <v>863</v>
      </c>
      <c r="B1059" t="s">
        <v>864</v>
      </c>
      <c r="C1059" t="s">
        <v>20</v>
      </c>
      <c r="D1059" t="s">
        <v>636</v>
      </c>
      <c r="E1059" t="s">
        <v>644</v>
      </c>
      <c r="F1059" t="s">
        <v>23</v>
      </c>
      <c r="G1059" s="91">
        <v>988.444</v>
      </c>
      <c r="H1059" s="91"/>
      <c r="I1059" s="91">
        <v>102.999997976618</v>
      </c>
      <c r="J1059" s="91">
        <v>101809.73</v>
      </c>
    </row>
    <row r="1060" spans="1:10">
      <c r="A1060" t="s">
        <v>865</v>
      </c>
      <c r="B1060" t="s">
        <v>866</v>
      </c>
      <c r="C1060" t="s">
        <v>11</v>
      </c>
      <c r="D1060" t="s">
        <v>634</v>
      </c>
      <c r="E1060" t="s">
        <v>635</v>
      </c>
      <c r="F1060" t="s">
        <v>23</v>
      </c>
      <c r="G1060" s="91">
        <v>988.444</v>
      </c>
      <c r="H1060" s="91"/>
      <c r="I1060" s="91">
        <v>15.9999959532356</v>
      </c>
      <c r="J1060" s="91">
        <v>15815.1</v>
      </c>
    </row>
    <row r="1061" spans="1:10">
      <c r="A1061" t="s">
        <v>865</v>
      </c>
      <c r="B1061" t="s">
        <v>866</v>
      </c>
      <c r="C1061" t="s">
        <v>11</v>
      </c>
      <c r="D1061" t="s">
        <v>634</v>
      </c>
      <c r="E1061" t="s">
        <v>640</v>
      </c>
      <c r="F1061" t="s">
        <v>23</v>
      </c>
      <c r="G1061" s="91">
        <v>988.444</v>
      </c>
      <c r="H1061" s="91"/>
      <c r="I1061" s="91">
        <v>17.0000020233822</v>
      </c>
      <c r="J1061" s="91">
        <v>16803.55</v>
      </c>
    </row>
    <row r="1062" spans="1:10">
      <c r="A1062" t="s">
        <v>865</v>
      </c>
      <c r="B1062" t="s">
        <v>866</v>
      </c>
      <c r="C1062" t="s">
        <v>20</v>
      </c>
      <c r="D1062" t="s">
        <v>636</v>
      </c>
      <c r="E1062" t="s">
        <v>647</v>
      </c>
      <c r="F1062" t="s">
        <v>23</v>
      </c>
      <c r="G1062" s="91">
        <v>494.222</v>
      </c>
      <c r="H1062" s="91"/>
      <c r="I1062" s="91">
        <v>63.0000080935288</v>
      </c>
      <c r="J1062" s="91">
        <v>31135.99</v>
      </c>
    </row>
    <row r="1063" spans="1:10">
      <c r="A1063" t="s">
        <v>867</v>
      </c>
      <c r="B1063" t="s">
        <v>868</v>
      </c>
      <c r="C1063" t="s">
        <v>11</v>
      </c>
      <c r="D1063" t="s">
        <v>634</v>
      </c>
      <c r="E1063" t="s">
        <v>640</v>
      </c>
      <c r="F1063" t="s">
        <v>23</v>
      </c>
      <c r="G1063" s="91">
        <v>988.444</v>
      </c>
      <c r="H1063" s="91"/>
      <c r="I1063" s="91">
        <v>17.0000020233822</v>
      </c>
      <c r="J1063" s="91">
        <v>16803.55</v>
      </c>
    </row>
    <row r="1064" spans="1:10">
      <c r="A1064" t="s">
        <v>867</v>
      </c>
      <c r="B1064" t="s">
        <v>868</v>
      </c>
      <c r="C1064" t="s">
        <v>11</v>
      </c>
      <c r="D1064" t="s">
        <v>634</v>
      </c>
      <c r="E1064" t="s">
        <v>650</v>
      </c>
      <c r="F1064" t="s">
        <v>23</v>
      </c>
      <c r="G1064" s="91">
        <v>988.444</v>
      </c>
      <c r="H1064" s="91"/>
      <c r="I1064" s="91">
        <v>17.9999979766178</v>
      </c>
      <c r="J1064" s="91">
        <v>17791.99</v>
      </c>
    </row>
    <row r="1065" spans="1:10">
      <c r="A1065" t="s">
        <v>867</v>
      </c>
      <c r="B1065" t="s">
        <v>868</v>
      </c>
      <c r="C1065" t="s">
        <v>20</v>
      </c>
      <c r="D1065" t="s">
        <v>636</v>
      </c>
      <c r="E1065" t="s">
        <v>651</v>
      </c>
      <c r="F1065" t="s">
        <v>23</v>
      </c>
      <c r="G1065" s="91">
        <v>494.222</v>
      </c>
      <c r="H1065" s="91"/>
      <c r="I1065" s="91">
        <v>108.000008093529</v>
      </c>
      <c r="J1065" s="91">
        <v>53375.98</v>
      </c>
    </row>
    <row r="1066" spans="1:10">
      <c r="A1066" t="s">
        <v>869</v>
      </c>
      <c r="B1066" t="s">
        <v>870</v>
      </c>
      <c r="C1066" t="s">
        <v>11</v>
      </c>
      <c r="D1066" t="s">
        <v>634</v>
      </c>
      <c r="E1066" t="s">
        <v>635</v>
      </c>
      <c r="F1066" t="s">
        <v>23</v>
      </c>
      <c r="G1066" s="91">
        <v>988.444</v>
      </c>
      <c r="H1066" s="91"/>
      <c r="I1066" s="91">
        <v>15.9999959532356</v>
      </c>
      <c r="J1066" s="91">
        <v>15815.1</v>
      </c>
    </row>
    <row r="1067" spans="1:10">
      <c r="A1067" t="s">
        <v>869</v>
      </c>
      <c r="B1067" t="s">
        <v>870</v>
      </c>
      <c r="C1067" t="s">
        <v>11</v>
      </c>
      <c r="D1067" t="s">
        <v>634</v>
      </c>
      <c r="E1067" t="s">
        <v>650</v>
      </c>
      <c r="F1067" t="s">
        <v>23</v>
      </c>
      <c r="G1067" s="91">
        <v>988.444</v>
      </c>
      <c r="H1067" s="91"/>
      <c r="I1067" s="91">
        <v>17.9999979766178</v>
      </c>
      <c r="J1067" s="91">
        <v>17791.99</v>
      </c>
    </row>
    <row r="1068" spans="1:10">
      <c r="A1068" t="s">
        <v>869</v>
      </c>
      <c r="B1068" t="s">
        <v>870</v>
      </c>
      <c r="C1068" t="s">
        <v>20</v>
      </c>
      <c r="D1068" t="s">
        <v>636</v>
      </c>
      <c r="E1068" t="s">
        <v>654</v>
      </c>
      <c r="F1068" t="s">
        <v>23</v>
      </c>
      <c r="G1068" s="91">
        <v>494.222</v>
      </c>
      <c r="H1068" s="91"/>
      <c r="I1068" s="91">
        <v>109.000004046764</v>
      </c>
      <c r="J1068" s="91">
        <v>53870.2</v>
      </c>
    </row>
    <row r="1069" spans="1:10">
      <c r="A1069" t="s">
        <v>871</v>
      </c>
      <c r="B1069" t="s">
        <v>872</v>
      </c>
      <c r="C1069" t="s">
        <v>11</v>
      </c>
      <c r="D1069" t="s">
        <v>12</v>
      </c>
      <c r="E1069" t="s">
        <v>13</v>
      </c>
      <c r="F1069" t="s">
        <v>14</v>
      </c>
      <c r="G1069" s="91">
        <v>258.813</v>
      </c>
      <c r="H1069" s="91"/>
      <c r="I1069" s="91">
        <v>450</v>
      </c>
      <c r="J1069" s="91">
        <v>116465.85</v>
      </c>
    </row>
    <row r="1070" spans="1:10">
      <c r="A1070" t="s">
        <v>871</v>
      </c>
      <c r="B1070" t="s">
        <v>872</v>
      </c>
      <c r="C1070" t="s">
        <v>11</v>
      </c>
      <c r="D1070" t="s">
        <v>12</v>
      </c>
      <c r="E1070" t="s">
        <v>15</v>
      </c>
      <c r="F1070" t="s">
        <v>14</v>
      </c>
      <c r="G1070" s="91">
        <v>40.44</v>
      </c>
      <c r="H1070" s="91"/>
      <c r="I1070" s="91">
        <v>600</v>
      </c>
      <c r="J1070" s="91">
        <v>24264</v>
      </c>
    </row>
    <row r="1071" spans="1:10">
      <c r="A1071" t="s">
        <v>871</v>
      </c>
      <c r="B1071" t="s">
        <v>872</v>
      </c>
      <c r="C1071" t="s">
        <v>11</v>
      </c>
      <c r="D1071" t="s">
        <v>12</v>
      </c>
      <c r="E1071" t="s">
        <v>28</v>
      </c>
      <c r="F1071" t="s">
        <v>14</v>
      </c>
      <c r="G1071" s="91">
        <v>12.132</v>
      </c>
      <c r="H1071" s="91"/>
      <c r="I1071" s="91">
        <v>600</v>
      </c>
      <c r="J1071" s="91">
        <v>7279.2</v>
      </c>
    </row>
    <row r="1072" spans="1:10">
      <c r="A1072" t="s">
        <v>871</v>
      </c>
      <c r="B1072" t="s">
        <v>872</v>
      </c>
      <c r="C1072" t="s">
        <v>20</v>
      </c>
      <c r="D1072" t="s">
        <v>59</v>
      </c>
      <c r="E1072" t="s">
        <v>667</v>
      </c>
      <c r="F1072" t="s">
        <v>49</v>
      </c>
      <c r="G1072" s="91">
        <v>768.352</v>
      </c>
      <c r="H1072" s="91"/>
      <c r="I1072" s="91">
        <v>41.9999947940527</v>
      </c>
      <c r="J1072" s="91">
        <v>32270.78</v>
      </c>
    </row>
    <row r="1073" spans="1:10">
      <c r="A1073" t="s">
        <v>871</v>
      </c>
      <c r="B1073" t="s">
        <v>872</v>
      </c>
      <c r="C1073" t="s">
        <v>20</v>
      </c>
      <c r="D1073" t="s">
        <v>59</v>
      </c>
      <c r="E1073" t="s">
        <v>668</v>
      </c>
      <c r="F1073" t="s">
        <v>49</v>
      </c>
      <c r="G1073" s="91">
        <v>1035.254</v>
      </c>
      <c r="H1073" s="91"/>
      <c r="I1073" s="91">
        <v>15</v>
      </c>
      <c r="J1073" s="91">
        <v>15528.81</v>
      </c>
    </row>
    <row r="1074" spans="1:10">
      <c r="A1074" t="s">
        <v>871</v>
      </c>
      <c r="B1074" t="s">
        <v>872</v>
      </c>
      <c r="C1074" t="s">
        <v>20</v>
      </c>
      <c r="D1074" t="s">
        <v>59</v>
      </c>
      <c r="E1074" t="s">
        <v>60</v>
      </c>
      <c r="F1074" t="s">
        <v>49</v>
      </c>
      <c r="G1074" s="91">
        <v>454.541</v>
      </c>
      <c r="H1074" s="91"/>
      <c r="I1074" s="91">
        <v>17.0000066000647</v>
      </c>
      <c r="J1074" s="91">
        <v>7727.2</v>
      </c>
    </row>
    <row r="1075" spans="1:10">
      <c r="A1075" t="s">
        <v>871</v>
      </c>
      <c r="B1075" t="s">
        <v>872</v>
      </c>
      <c r="C1075" t="s">
        <v>20</v>
      </c>
      <c r="D1075" t="s">
        <v>106</v>
      </c>
      <c r="E1075" t="s">
        <v>873</v>
      </c>
      <c r="F1075" t="s">
        <v>108</v>
      </c>
      <c r="G1075" s="91">
        <v>824.968</v>
      </c>
      <c r="H1075" s="91"/>
      <c r="I1075" s="91">
        <v>6000</v>
      </c>
      <c r="J1075" s="91">
        <v>4949808</v>
      </c>
    </row>
    <row r="1076" spans="1:10">
      <c r="A1076" t="s">
        <v>874</v>
      </c>
      <c r="B1076" t="s">
        <v>875</v>
      </c>
      <c r="C1076" t="s">
        <v>11</v>
      </c>
      <c r="D1076" t="s">
        <v>24</v>
      </c>
      <c r="E1076" t="s">
        <v>604</v>
      </c>
      <c r="F1076" t="s">
        <v>34</v>
      </c>
      <c r="G1076" s="91">
        <v>4049.778</v>
      </c>
      <c r="H1076" s="91"/>
      <c r="I1076" s="91">
        <v>50</v>
      </c>
      <c r="J1076" s="91">
        <v>202488.9</v>
      </c>
    </row>
    <row r="1077" spans="1:10">
      <c r="A1077" t="s">
        <v>874</v>
      </c>
      <c r="B1077" t="s">
        <v>875</v>
      </c>
      <c r="C1077" t="s">
        <v>11</v>
      </c>
      <c r="D1077" t="s">
        <v>24</v>
      </c>
      <c r="E1077" t="s">
        <v>605</v>
      </c>
      <c r="F1077" t="s">
        <v>34</v>
      </c>
      <c r="G1077" s="91">
        <v>827.37</v>
      </c>
      <c r="H1077" s="91"/>
      <c r="I1077" s="91">
        <v>80</v>
      </c>
      <c r="J1077" s="91">
        <v>66189.6</v>
      </c>
    </row>
    <row r="1078" spans="1:10">
      <c r="A1078" t="s">
        <v>874</v>
      </c>
      <c r="B1078" t="s">
        <v>875</v>
      </c>
      <c r="C1078" t="s">
        <v>11</v>
      </c>
      <c r="D1078" t="s">
        <v>24</v>
      </c>
      <c r="E1078" t="s">
        <v>606</v>
      </c>
      <c r="F1078" t="s">
        <v>34</v>
      </c>
      <c r="G1078" s="91">
        <v>4049.778</v>
      </c>
      <c r="H1078" s="91"/>
      <c r="I1078" s="91">
        <v>272.000000987709</v>
      </c>
      <c r="J1078" s="91">
        <v>1101539.62</v>
      </c>
    </row>
    <row r="1079" spans="1:10">
      <c r="A1079" t="s">
        <v>874</v>
      </c>
      <c r="B1079" t="s">
        <v>875</v>
      </c>
      <c r="C1079" t="s">
        <v>20</v>
      </c>
      <c r="D1079" t="s">
        <v>47</v>
      </c>
      <c r="E1079" t="s">
        <v>50</v>
      </c>
      <c r="F1079" t="s">
        <v>49</v>
      </c>
      <c r="G1079" s="91">
        <v>121.493</v>
      </c>
      <c r="H1079" s="91"/>
      <c r="I1079" s="91">
        <v>60</v>
      </c>
      <c r="J1079" s="91">
        <v>7289.58</v>
      </c>
    </row>
    <row r="1080" spans="1:10">
      <c r="A1080" t="s">
        <v>874</v>
      </c>
      <c r="B1080" t="s">
        <v>875</v>
      </c>
      <c r="C1080" t="s">
        <v>20</v>
      </c>
      <c r="D1080" t="s">
        <v>61</v>
      </c>
      <c r="E1080" t="s">
        <v>78</v>
      </c>
      <c r="F1080" t="s">
        <v>49</v>
      </c>
      <c r="G1080" s="91">
        <v>113.367</v>
      </c>
      <c r="H1080" s="91"/>
      <c r="I1080" s="91">
        <v>95.0000441045454</v>
      </c>
      <c r="J1080" s="91">
        <v>10769.87</v>
      </c>
    </row>
    <row r="1081" spans="1:10">
      <c r="A1081" t="s">
        <v>874</v>
      </c>
      <c r="B1081" t="s">
        <v>875</v>
      </c>
      <c r="C1081" t="s">
        <v>20</v>
      </c>
      <c r="D1081" t="s">
        <v>61</v>
      </c>
      <c r="E1081" t="s">
        <v>607</v>
      </c>
      <c r="F1081" t="s">
        <v>23</v>
      </c>
      <c r="G1081" s="91">
        <v>45.347</v>
      </c>
      <c r="H1081" s="91"/>
      <c r="I1081" s="91">
        <v>115.199902970428</v>
      </c>
      <c r="J1081" s="91">
        <v>5223.97</v>
      </c>
    </row>
    <row r="1082" spans="1:10">
      <c r="A1082" t="s">
        <v>874</v>
      </c>
      <c r="B1082" t="s">
        <v>875</v>
      </c>
      <c r="C1082" t="s">
        <v>20</v>
      </c>
      <c r="D1082" t="s">
        <v>84</v>
      </c>
      <c r="E1082" t="s">
        <v>86</v>
      </c>
      <c r="F1082" t="s">
        <v>49</v>
      </c>
      <c r="G1082" s="91">
        <v>80.996</v>
      </c>
      <c r="H1082" s="91"/>
      <c r="I1082" s="91">
        <v>60</v>
      </c>
      <c r="J1082" s="91">
        <v>4859.76</v>
      </c>
    </row>
    <row r="1083" spans="1:10">
      <c r="A1083" t="s">
        <v>874</v>
      </c>
      <c r="B1083" t="s">
        <v>875</v>
      </c>
      <c r="C1083" t="s">
        <v>20</v>
      </c>
      <c r="D1083" t="s">
        <v>84</v>
      </c>
      <c r="E1083" t="s">
        <v>88</v>
      </c>
      <c r="F1083" t="s">
        <v>49</v>
      </c>
      <c r="G1083" s="91">
        <v>161.991</v>
      </c>
      <c r="H1083" s="91"/>
      <c r="I1083" s="91">
        <v>60</v>
      </c>
      <c r="J1083" s="91">
        <v>9719.46</v>
      </c>
    </row>
    <row r="1084" spans="1:10">
      <c r="A1084" t="s">
        <v>874</v>
      </c>
      <c r="B1084" t="s">
        <v>875</v>
      </c>
      <c r="C1084" t="s">
        <v>20</v>
      </c>
      <c r="D1084" t="s">
        <v>84</v>
      </c>
      <c r="E1084" t="s">
        <v>89</v>
      </c>
      <c r="F1084" t="s">
        <v>49</v>
      </c>
      <c r="G1084" s="91">
        <v>161.991</v>
      </c>
      <c r="H1084" s="91"/>
      <c r="I1084" s="91">
        <v>60</v>
      </c>
      <c r="J1084" s="91">
        <v>9719.46</v>
      </c>
    </row>
    <row r="1085" spans="1:10">
      <c r="A1085" t="s">
        <v>874</v>
      </c>
      <c r="B1085" t="s">
        <v>875</v>
      </c>
      <c r="C1085" t="s">
        <v>20</v>
      </c>
      <c r="D1085" t="s">
        <v>84</v>
      </c>
      <c r="E1085" t="s">
        <v>608</v>
      </c>
      <c r="F1085" t="s">
        <v>100</v>
      </c>
      <c r="G1085" s="91">
        <v>5446.951</v>
      </c>
      <c r="H1085" s="91"/>
      <c r="I1085" s="91">
        <v>67.0000005507668</v>
      </c>
      <c r="J1085" s="91">
        <v>364945.72</v>
      </c>
    </row>
    <row r="1086" spans="1:10">
      <c r="A1086" t="s">
        <v>874</v>
      </c>
      <c r="B1086" t="s">
        <v>875</v>
      </c>
      <c r="C1086" t="s">
        <v>20</v>
      </c>
      <c r="D1086" t="s">
        <v>84</v>
      </c>
      <c r="E1086" t="s">
        <v>609</v>
      </c>
      <c r="F1086" t="s">
        <v>63</v>
      </c>
      <c r="G1086" s="91">
        <v>161.991</v>
      </c>
      <c r="H1086" s="91"/>
      <c r="I1086" s="91">
        <v>135.000030865912</v>
      </c>
      <c r="J1086" s="91">
        <v>21868.79</v>
      </c>
    </row>
    <row r="1087" spans="1:10">
      <c r="A1087" t="s">
        <v>874</v>
      </c>
      <c r="B1087" t="s">
        <v>875</v>
      </c>
      <c r="C1087" t="s">
        <v>20</v>
      </c>
      <c r="D1087" t="s">
        <v>84</v>
      </c>
      <c r="E1087" t="s">
        <v>610</v>
      </c>
      <c r="F1087" t="s">
        <v>611</v>
      </c>
      <c r="G1087" s="91">
        <v>372.58</v>
      </c>
      <c r="H1087" s="91"/>
      <c r="I1087" s="91">
        <v>395</v>
      </c>
      <c r="J1087" s="91">
        <v>147169.1</v>
      </c>
    </row>
    <row r="1088" spans="1:10">
      <c r="A1088" t="s">
        <v>874</v>
      </c>
      <c r="B1088" t="s">
        <v>875</v>
      </c>
      <c r="C1088" t="s">
        <v>20</v>
      </c>
      <c r="D1088" t="s">
        <v>84</v>
      </c>
      <c r="E1088" t="s">
        <v>612</v>
      </c>
      <c r="F1088" t="s">
        <v>611</v>
      </c>
      <c r="G1088" s="91">
        <v>291.584</v>
      </c>
      <c r="H1088" s="91"/>
      <c r="I1088" s="91">
        <v>295</v>
      </c>
      <c r="J1088" s="91">
        <v>86017.28</v>
      </c>
    </row>
    <row r="1089" spans="1:10">
      <c r="A1089" t="s">
        <v>876</v>
      </c>
      <c r="B1089" t="s">
        <v>877</v>
      </c>
      <c r="C1089" t="s">
        <v>20</v>
      </c>
      <c r="D1089" t="s">
        <v>47</v>
      </c>
      <c r="E1089" t="s">
        <v>48</v>
      </c>
      <c r="F1089" t="s">
        <v>49</v>
      </c>
      <c r="G1089" s="91">
        <v>2288.952</v>
      </c>
      <c r="H1089" s="91"/>
      <c r="I1089" s="91">
        <v>75</v>
      </c>
      <c r="J1089" s="91">
        <v>171671.4</v>
      </c>
    </row>
    <row r="1090" spans="1:10">
      <c r="A1090" t="s">
        <v>876</v>
      </c>
      <c r="B1090" t="s">
        <v>877</v>
      </c>
      <c r="C1090" t="s">
        <v>20</v>
      </c>
      <c r="D1090" t="s">
        <v>624</v>
      </c>
      <c r="E1090" t="s">
        <v>625</v>
      </c>
      <c r="F1090" t="s">
        <v>23</v>
      </c>
      <c r="G1090" s="91">
        <v>5722.38</v>
      </c>
      <c r="H1090" s="91"/>
      <c r="I1090" s="91">
        <v>0.799999300990147</v>
      </c>
      <c r="J1090" s="91">
        <v>4577.9</v>
      </c>
    </row>
    <row r="1091" spans="1:10">
      <c r="A1091" t="s">
        <v>876</v>
      </c>
      <c r="B1091" t="s">
        <v>877</v>
      </c>
      <c r="C1091" t="s">
        <v>20</v>
      </c>
      <c r="D1091" t="s">
        <v>624</v>
      </c>
      <c r="E1091" t="s">
        <v>626</v>
      </c>
      <c r="F1091" t="s">
        <v>23</v>
      </c>
      <c r="G1091" s="91">
        <v>5722.38</v>
      </c>
      <c r="H1091" s="91"/>
      <c r="I1091" s="91">
        <v>0.899999650495074</v>
      </c>
      <c r="J1091" s="91">
        <v>5150.14</v>
      </c>
    </row>
    <row r="1092" spans="1:10">
      <c r="A1092" t="s">
        <v>876</v>
      </c>
      <c r="B1092" t="s">
        <v>877</v>
      </c>
      <c r="C1092" t="s">
        <v>20</v>
      </c>
      <c r="D1092" t="s">
        <v>624</v>
      </c>
      <c r="E1092" t="s">
        <v>627</v>
      </c>
      <c r="F1092" t="s">
        <v>23</v>
      </c>
      <c r="G1092" s="91">
        <v>5722.38</v>
      </c>
      <c r="H1092" s="91"/>
      <c r="I1092" s="91">
        <v>3.10000034950493</v>
      </c>
      <c r="J1092" s="91">
        <v>17739.38</v>
      </c>
    </row>
    <row r="1093" spans="1:10">
      <c r="A1093" t="s">
        <v>876</v>
      </c>
      <c r="B1093" t="s">
        <v>877</v>
      </c>
      <c r="C1093" t="s">
        <v>20</v>
      </c>
      <c r="D1093" t="s">
        <v>624</v>
      </c>
      <c r="E1093" t="s">
        <v>628</v>
      </c>
      <c r="F1093" t="s">
        <v>23</v>
      </c>
      <c r="G1093" s="91">
        <v>7152.975</v>
      </c>
      <c r="H1093" s="91"/>
      <c r="I1093" s="91">
        <v>3.09999965049507</v>
      </c>
      <c r="J1093" s="91">
        <v>22174.22</v>
      </c>
    </row>
    <row r="1094" spans="1:10">
      <c r="A1094" t="s">
        <v>876</v>
      </c>
      <c r="B1094" t="s">
        <v>877</v>
      </c>
      <c r="C1094" t="s">
        <v>11</v>
      </c>
      <c r="D1094" t="s">
        <v>630</v>
      </c>
      <c r="E1094" t="s">
        <v>631</v>
      </c>
      <c r="F1094" t="s">
        <v>17</v>
      </c>
      <c r="G1094" s="91">
        <v>190.746</v>
      </c>
      <c r="H1094" s="91"/>
      <c r="I1094" s="91">
        <v>9380</v>
      </c>
      <c r="J1094" s="91">
        <v>1789197.48</v>
      </c>
    </row>
    <row r="1095" spans="1:10">
      <c r="A1095" t="s">
        <v>878</v>
      </c>
      <c r="B1095" t="s">
        <v>879</v>
      </c>
      <c r="C1095" t="s">
        <v>20</v>
      </c>
      <c r="D1095" t="s">
        <v>47</v>
      </c>
      <c r="E1095" t="s">
        <v>48</v>
      </c>
      <c r="F1095" t="s">
        <v>49</v>
      </c>
      <c r="G1095" s="91">
        <v>2966.004</v>
      </c>
      <c r="H1095" s="91"/>
      <c r="I1095" s="91">
        <v>75</v>
      </c>
      <c r="J1095" s="91">
        <v>222450.3</v>
      </c>
    </row>
    <row r="1096" spans="1:10">
      <c r="A1096" t="s">
        <v>878</v>
      </c>
      <c r="B1096" t="s">
        <v>879</v>
      </c>
      <c r="C1096" t="s">
        <v>20</v>
      </c>
      <c r="D1096" t="s">
        <v>624</v>
      </c>
      <c r="E1096" t="s">
        <v>625</v>
      </c>
      <c r="F1096" t="s">
        <v>23</v>
      </c>
      <c r="G1096" s="91">
        <v>7415.01</v>
      </c>
      <c r="H1096" s="91"/>
      <c r="I1096" s="91">
        <v>0.80000026972317</v>
      </c>
      <c r="J1096" s="91">
        <v>5932.01</v>
      </c>
    </row>
    <row r="1097" spans="1:10">
      <c r="A1097" t="s">
        <v>878</v>
      </c>
      <c r="B1097" t="s">
        <v>879</v>
      </c>
      <c r="C1097" t="s">
        <v>20</v>
      </c>
      <c r="D1097" t="s">
        <v>624</v>
      </c>
      <c r="E1097" t="s">
        <v>626</v>
      </c>
      <c r="F1097" t="s">
        <v>23</v>
      </c>
      <c r="G1097" s="91">
        <v>7415.01</v>
      </c>
      <c r="H1097" s="91"/>
      <c r="I1097" s="91">
        <v>0.900000134861585</v>
      </c>
      <c r="J1097" s="91">
        <v>6673.51</v>
      </c>
    </row>
    <row r="1098" spans="1:10">
      <c r="A1098" t="s">
        <v>878</v>
      </c>
      <c r="B1098" t="s">
        <v>879</v>
      </c>
      <c r="C1098" t="s">
        <v>20</v>
      </c>
      <c r="D1098" t="s">
        <v>624</v>
      </c>
      <c r="E1098" t="s">
        <v>627</v>
      </c>
      <c r="F1098" t="s">
        <v>23</v>
      </c>
      <c r="G1098" s="91">
        <v>7415.01</v>
      </c>
      <c r="H1098" s="91"/>
      <c r="I1098" s="91">
        <v>3.09999986513841</v>
      </c>
      <c r="J1098" s="91">
        <v>22986.53</v>
      </c>
    </row>
    <row r="1099" spans="1:10">
      <c r="A1099" t="s">
        <v>878</v>
      </c>
      <c r="B1099" t="s">
        <v>879</v>
      </c>
      <c r="C1099" t="s">
        <v>20</v>
      </c>
      <c r="D1099" t="s">
        <v>624</v>
      </c>
      <c r="E1099" t="s">
        <v>628</v>
      </c>
      <c r="F1099" t="s">
        <v>23</v>
      </c>
      <c r="G1099" s="91">
        <v>9268.763</v>
      </c>
      <c r="H1099" s="91"/>
      <c r="I1099" s="91">
        <v>3.10000050707953</v>
      </c>
      <c r="J1099" s="91">
        <v>28733.17</v>
      </c>
    </row>
    <row r="1100" spans="1:10">
      <c r="A1100" t="s">
        <v>878</v>
      </c>
      <c r="B1100" t="s">
        <v>879</v>
      </c>
      <c r="C1100" t="s">
        <v>11</v>
      </c>
      <c r="D1100" t="s">
        <v>630</v>
      </c>
      <c r="E1100" t="s">
        <v>631</v>
      </c>
      <c r="F1100" t="s">
        <v>17</v>
      </c>
      <c r="G1100" s="91">
        <v>247.167</v>
      </c>
      <c r="H1100" s="91"/>
      <c r="I1100" s="91">
        <v>9380</v>
      </c>
      <c r="J1100" s="91">
        <v>2318426.46</v>
      </c>
    </row>
    <row r="1101" spans="1:10">
      <c r="A1101" t="s">
        <v>880</v>
      </c>
      <c r="B1101" t="s">
        <v>881</v>
      </c>
      <c r="C1101" t="s">
        <v>20</v>
      </c>
      <c r="D1101" t="s">
        <v>47</v>
      </c>
      <c r="E1101" t="s">
        <v>48</v>
      </c>
      <c r="F1101" t="s">
        <v>49</v>
      </c>
      <c r="G1101" s="91">
        <v>2855.46</v>
      </c>
      <c r="H1101" s="91"/>
      <c r="I1101" s="91">
        <v>75</v>
      </c>
      <c r="J1101" s="91">
        <v>214159.5</v>
      </c>
    </row>
    <row r="1102" spans="1:10">
      <c r="A1102" t="s">
        <v>880</v>
      </c>
      <c r="B1102" t="s">
        <v>881</v>
      </c>
      <c r="C1102" t="s">
        <v>20</v>
      </c>
      <c r="D1102" t="s">
        <v>624</v>
      </c>
      <c r="E1102" t="s">
        <v>625</v>
      </c>
      <c r="F1102" t="s">
        <v>23</v>
      </c>
      <c r="G1102" s="91">
        <v>7138.65</v>
      </c>
      <c r="H1102" s="91"/>
      <c r="I1102" s="91">
        <v>0.8</v>
      </c>
      <c r="J1102" s="91">
        <v>5710.92</v>
      </c>
    </row>
    <row r="1103" spans="1:10">
      <c r="A1103" t="s">
        <v>880</v>
      </c>
      <c r="B1103" t="s">
        <v>881</v>
      </c>
      <c r="C1103" t="s">
        <v>20</v>
      </c>
      <c r="D1103" t="s">
        <v>624</v>
      </c>
      <c r="E1103" t="s">
        <v>626</v>
      </c>
      <c r="F1103" t="s">
        <v>23</v>
      </c>
      <c r="G1103" s="91">
        <v>7138.65</v>
      </c>
      <c r="H1103" s="91"/>
      <c r="I1103" s="91">
        <v>0.900000700412543</v>
      </c>
      <c r="J1103" s="91">
        <v>6424.79</v>
      </c>
    </row>
    <row r="1104" spans="1:10">
      <c r="A1104" t="s">
        <v>880</v>
      </c>
      <c r="B1104" t="s">
        <v>881</v>
      </c>
      <c r="C1104" t="s">
        <v>20</v>
      </c>
      <c r="D1104" t="s">
        <v>624</v>
      </c>
      <c r="E1104" t="s">
        <v>627</v>
      </c>
      <c r="F1104" t="s">
        <v>23</v>
      </c>
      <c r="G1104" s="91">
        <v>7138.65</v>
      </c>
      <c r="H1104" s="91"/>
      <c r="I1104" s="91">
        <v>3.10000070041254</v>
      </c>
      <c r="J1104" s="91">
        <v>22129.82</v>
      </c>
    </row>
    <row r="1105" spans="1:10">
      <c r="A1105" t="s">
        <v>880</v>
      </c>
      <c r="B1105" t="s">
        <v>881</v>
      </c>
      <c r="C1105" t="s">
        <v>20</v>
      </c>
      <c r="D1105" t="s">
        <v>624</v>
      </c>
      <c r="E1105" t="s">
        <v>628</v>
      </c>
      <c r="F1105" t="s">
        <v>23</v>
      </c>
      <c r="G1105" s="91">
        <v>8923.313</v>
      </c>
      <c r="H1105" s="91"/>
      <c r="I1105" s="91">
        <v>3.0999999663802</v>
      </c>
      <c r="J1105" s="91">
        <v>27662.27</v>
      </c>
    </row>
    <row r="1106" spans="1:10">
      <c r="A1106" t="s">
        <v>880</v>
      </c>
      <c r="B1106" t="s">
        <v>881</v>
      </c>
      <c r="C1106" t="s">
        <v>11</v>
      </c>
      <c r="D1106" t="s">
        <v>630</v>
      </c>
      <c r="E1106" t="s">
        <v>631</v>
      </c>
      <c r="F1106" t="s">
        <v>17</v>
      </c>
      <c r="G1106" s="91">
        <v>237.955</v>
      </c>
      <c r="H1106" s="91"/>
      <c r="I1106" s="91">
        <v>9380</v>
      </c>
      <c r="J1106" s="91">
        <v>2232017.9</v>
      </c>
    </row>
    <row r="1107" spans="1:10">
      <c r="A1107" t="s">
        <v>882</v>
      </c>
      <c r="B1107" t="s">
        <v>883</v>
      </c>
      <c r="C1107" t="s">
        <v>20</v>
      </c>
      <c r="D1107" t="s">
        <v>47</v>
      </c>
      <c r="E1107" t="s">
        <v>48</v>
      </c>
      <c r="F1107" t="s">
        <v>49</v>
      </c>
      <c r="G1107" s="91">
        <v>2746.32</v>
      </c>
      <c r="H1107" s="91"/>
      <c r="I1107" s="91">
        <v>75</v>
      </c>
      <c r="J1107" s="91">
        <v>205974</v>
      </c>
    </row>
    <row r="1108" spans="1:10">
      <c r="A1108" t="s">
        <v>882</v>
      </c>
      <c r="B1108" t="s">
        <v>883</v>
      </c>
      <c r="C1108" t="s">
        <v>20</v>
      </c>
      <c r="D1108" t="s">
        <v>624</v>
      </c>
      <c r="E1108" t="s">
        <v>625</v>
      </c>
      <c r="F1108" t="s">
        <v>23</v>
      </c>
      <c r="G1108" s="91">
        <v>6865.8</v>
      </c>
      <c r="H1108" s="91"/>
      <c r="I1108" s="91">
        <v>0.8</v>
      </c>
      <c r="J1108" s="91">
        <v>5492.64</v>
      </c>
    </row>
    <row r="1109" spans="1:10">
      <c r="A1109" t="s">
        <v>882</v>
      </c>
      <c r="B1109" t="s">
        <v>883</v>
      </c>
      <c r="C1109" t="s">
        <v>20</v>
      </c>
      <c r="D1109" t="s">
        <v>624</v>
      </c>
      <c r="E1109" t="s">
        <v>626</v>
      </c>
      <c r="F1109" t="s">
        <v>23</v>
      </c>
      <c r="G1109" s="91">
        <v>6865.8</v>
      </c>
      <c r="H1109" s="91"/>
      <c r="I1109" s="91">
        <v>0.9</v>
      </c>
      <c r="J1109" s="91">
        <v>6179.22</v>
      </c>
    </row>
    <row r="1110" spans="1:10">
      <c r="A1110" t="s">
        <v>882</v>
      </c>
      <c r="B1110" t="s">
        <v>883</v>
      </c>
      <c r="C1110" t="s">
        <v>20</v>
      </c>
      <c r="D1110" t="s">
        <v>624</v>
      </c>
      <c r="E1110" t="s">
        <v>627</v>
      </c>
      <c r="F1110" t="s">
        <v>23</v>
      </c>
      <c r="G1110" s="91">
        <v>6865.8</v>
      </c>
      <c r="H1110" s="91"/>
      <c r="I1110" s="91">
        <v>3.1</v>
      </c>
      <c r="J1110" s="91">
        <v>21283.98</v>
      </c>
    </row>
    <row r="1111" spans="1:10">
      <c r="A1111" t="s">
        <v>882</v>
      </c>
      <c r="B1111" t="s">
        <v>883</v>
      </c>
      <c r="C1111" t="s">
        <v>20</v>
      </c>
      <c r="D1111" t="s">
        <v>624</v>
      </c>
      <c r="E1111" t="s">
        <v>628</v>
      </c>
      <c r="F1111" t="s">
        <v>23</v>
      </c>
      <c r="G1111" s="91">
        <v>8582.25</v>
      </c>
      <c r="H1111" s="91"/>
      <c r="I1111" s="91">
        <v>3.1000005825978</v>
      </c>
      <c r="J1111" s="91">
        <v>26604.98</v>
      </c>
    </row>
    <row r="1112" spans="1:10">
      <c r="A1112" t="s">
        <v>882</v>
      </c>
      <c r="B1112" t="s">
        <v>883</v>
      </c>
      <c r="C1112" t="s">
        <v>11</v>
      </c>
      <c r="D1112" t="s">
        <v>630</v>
      </c>
      <c r="E1112" t="s">
        <v>631</v>
      </c>
      <c r="F1112" t="s">
        <v>17</v>
      </c>
      <c r="G1112" s="91">
        <v>228.86</v>
      </c>
      <c r="H1112" s="91"/>
      <c r="I1112" s="91">
        <v>9380</v>
      </c>
      <c r="J1112" s="91">
        <v>2146706.8</v>
      </c>
    </row>
    <row r="1113" spans="1:10">
      <c r="A1113" t="s">
        <v>884</v>
      </c>
      <c r="B1113" t="s">
        <v>885</v>
      </c>
      <c r="C1113" t="s">
        <v>20</v>
      </c>
      <c r="D1113" t="s">
        <v>47</v>
      </c>
      <c r="E1113" t="s">
        <v>48</v>
      </c>
      <c r="F1113" t="s">
        <v>49</v>
      </c>
      <c r="G1113" s="91">
        <v>2637.18</v>
      </c>
      <c r="H1113" s="91"/>
      <c r="I1113" s="91">
        <v>75</v>
      </c>
      <c r="J1113" s="91">
        <v>197788.5</v>
      </c>
    </row>
    <row r="1114" spans="1:10">
      <c r="A1114" t="s">
        <v>884</v>
      </c>
      <c r="B1114" t="s">
        <v>885</v>
      </c>
      <c r="C1114" t="s">
        <v>20</v>
      </c>
      <c r="D1114" t="s">
        <v>624</v>
      </c>
      <c r="E1114" t="s">
        <v>625</v>
      </c>
      <c r="F1114" t="s">
        <v>23</v>
      </c>
      <c r="G1114" s="91">
        <v>6592.95</v>
      </c>
      <c r="H1114" s="91"/>
      <c r="I1114" s="91">
        <v>0.8</v>
      </c>
      <c r="J1114" s="91">
        <v>5274.36</v>
      </c>
    </row>
    <row r="1115" spans="1:10">
      <c r="A1115" t="s">
        <v>884</v>
      </c>
      <c r="B1115" t="s">
        <v>885</v>
      </c>
      <c r="C1115" t="s">
        <v>20</v>
      </c>
      <c r="D1115" t="s">
        <v>624</v>
      </c>
      <c r="E1115" t="s">
        <v>626</v>
      </c>
      <c r="F1115" t="s">
        <v>23</v>
      </c>
      <c r="G1115" s="91">
        <v>6592.95</v>
      </c>
      <c r="H1115" s="91"/>
      <c r="I1115" s="91">
        <v>0.900000758385852</v>
      </c>
      <c r="J1115" s="91">
        <v>5933.66</v>
      </c>
    </row>
    <row r="1116" spans="1:10">
      <c r="A1116" t="s">
        <v>884</v>
      </c>
      <c r="B1116" t="s">
        <v>885</v>
      </c>
      <c r="C1116" t="s">
        <v>20</v>
      </c>
      <c r="D1116" t="s">
        <v>624</v>
      </c>
      <c r="E1116" t="s">
        <v>627</v>
      </c>
      <c r="F1116" t="s">
        <v>23</v>
      </c>
      <c r="G1116" s="91">
        <v>6592.95</v>
      </c>
      <c r="H1116" s="91"/>
      <c r="I1116" s="91">
        <v>3.10000075838585</v>
      </c>
      <c r="J1116" s="91">
        <v>20438.15</v>
      </c>
    </row>
    <row r="1117" spans="1:10">
      <c r="A1117" t="s">
        <v>884</v>
      </c>
      <c r="B1117" t="s">
        <v>885</v>
      </c>
      <c r="C1117" t="s">
        <v>20</v>
      </c>
      <c r="D1117" t="s">
        <v>624</v>
      </c>
      <c r="E1117" t="s">
        <v>628</v>
      </c>
      <c r="F1117" t="s">
        <v>23</v>
      </c>
      <c r="G1117" s="91">
        <v>8241.188</v>
      </c>
      <c r="H1117" s="91"/>
      <c r="I1117" s="91">
        <v>3.09999966024316</v>
      </c>
      <c r="J1117" s="91">
        <v>25547.68</v>
      </c>
    </row>
    <row r="1118" spans="1:10">
      <c r="A1118" t="s">
        <v>884</v>
      </c>
      <c r="B1118" t="s">
        <v>885</v>
      </c>
      <c r="C1118" t="s">
        <v>11</v>
      </c>
      <c r="D1118" t="s">
        <v>630</v>
      </c>
      <c r="E1118" t="s">
        <v>631</v>
      </c>
      <c r="F1118" t="s">
        <v>17</v>
      </c>
      <c r="G1118" s="91">
        <v>219.765</v>
      </c>
      <c r="H1118" s="91"/>
      <c r="I1118" s="91">
        <v>9380</v>
      </c>
      <c r="J1118" s="91">
        <v>2061395.7</v>
      </c>
    </row>
    <row r="1119" spans="1:10">
      <c r="A1119" t="s">
        <v>886</v>
      </c>
      <c r="B1119" t="s">
        <v>887</v>
      </c>
      <c r="C1119" t="s">
        <v>20</v>
      </c>
      <c r="D1119" t="s">
        <v>47</v>
      </c>
      <c r="E1119" t="s">
        <v>48</v>
      </c>
      <c r="F1119" t="s">
        <v>49</v>
      </c>
      <c r="G1119" s="91">
        <v>2528.04</v>
      </c>
      <c r="H1119" s="91"/>
      <c r="I1119" s="91">
        <v>75</v>
      </c>
      <c r="J1119" s="91">
        <v>189603</v>
      </c>
    </row>
    <row r="1120" spans="1:10">
      <c r="A1120" t="s">
        <v>886</v>
      </c>
      <c r="B1120" t="s">
        <v>887</v>
      </c>
      <c r="C1120" t="s">
        <v>20</v>
      </c>
      <c r="D1120" t="s">
        <v>624</v>
      </c>
      <c r="E1120" t="s">
        <v>625</v>
      </c>
      <c r="F1120" t="s">
        <v>23</v>
      </c>
      <c r="G1120" s="91">
        <v>6320.1</v>
      </c>
      <c r="H1120" s="91"/>
      <c r="I1120" s="91">
        <v>0.8</v>
      </c>
      <c r="J1120" s="91">
        <v>5056.08</v>
      </c>
    </row>
    <row r="1121" spans="1:10">
      <c r="A1121" t="s">
        <v>886</v>
      </c>
      <c r="B1121" t="s">
        <v>887</v>
      </c>
      <c r="C1121" t="s">
        <v>20</v>
      </c>
      <c r="D1121" t="s">
        <v>624</v>
      </c>
      <c r="E1121" t="s">
        <v>626</v>
      </c>
      <c r="F1121" t="s">
        <v>23</v>
      </c>
      <c r="G1121" s="91">
        <v>6320.1</v>
      </c>
      <c r="H1121" s="91"/>
      <c r="I1121" s="91">
        <v>0.9</v>
      </c>
      <c r="J1121" s="91">
        <v>5688.09</v>
      </c>
    </row>
    <row r="1122" spans="1:10">
      <c r="A1122" t="s">
        <v>886</v>
      </c>
      <c r="B1122" t="s">
        <v>887</v>
      </c>
      <c r="C1122" t="s">
        <v>20</v>
      </c>
      <c r="D1122" t="s">
        <v>624</v>
      </c>
      <c r="E1122" t="s">
        <v>627</v>
      </c>
      <c r="F1122" t="s">
        <v>23</v>
      </c>
      <c r="G1122" s="91">
        <v>6320.1</v>
      </c>
      <c r="H1122" s="91"/>
      <c r="I1122" s="91">
        <v>3.1</v>
      </c>
      <c r="J1122" s="91">
        <v>19592.31</v>
      </c>
    </row>
    <row r="1123" spans="1:10">
      <c r="A1123" t="s">
        <v>886</v>
      </c>
      <c r="B1123" t="s">
        <v>887</v>
      </c>
      <c r="C1123" t="s">
        <v>20</v>
      </c>
      <c r="D1123" t="s">
        <v>624</v>
      </c>
      <c r="E1123" t="s">
        <v>628</v>
      </c>
      <c r="F1123" t="s">
        <v>23</v>
      </c>
      <c r="G1123" s="91">
        <v>7900.125</v>
      </c>
      <c r="H1123" s="91"/>
      <c r="I1123" s="91">
        <v>3.10000031645069</v>
      </c>
      <c r="J1123" s="91">
        <v>24490.39</v>
      </c>
    </row>
    <row r="1124" spans="1:10">
      <c r="A1124" t="s">
        <v>886</v>
      </c>
      <c r="B1124" t="s">
        <v>887</v>
      </c>
      <c r="C1124" t="s">
        <v>11</v>
      </c>
      <c r="D1124" t="s">
        <v>630</v>
      </c>
      <c r="E1124" t="s">
        <v>631</v>
      </c>
      <c r="F1124" t="s">
        <v>17</v>
      </c>
      <c r="G1124" s="91">
        <v>210.67</v>
      </c>
      <c r="H1124" s="91"/>
      <c r="I1124" s="91">
        <v>9380</v>
      </c>
      <c r="J1124" s="91">
        <v>1976084.6</v>
      </c>
    </row>
    <row r="1125" spans="1:10">
      <c r="A1125" t="s">
        <v>888</v>
      </c>
      <c r="B1125" t="s">
        <v>889</v>
      </c>
      <c r="C1125" t="s">
        <v>20</v>
      </c>
      <c r="D1125" t="s">
        <v>47</v>
      </c>
      <c r="E1125" t="s">
        <v>48</v>
      </c>
      <c r="F1125" t="s">
        <v>49</v>
      </c>
      <c r="G1125" s="91">
        <v>2420.316</v>
      </c>
      <c r="H1125" s="91"/>
      <c r="I1125" s="91">
        <v>75</v>
      </c>
      <c r="J1125" s="91">
        <v>181523.7</v>
      </c>
    </row>
    <row r="1126" spans="1:10">
      <c r="A1126" t="s">
        <v>888</v>
      </c>
      <c r="B1126" t="s">
        <v>889</v>
      </c>
      <c r="C1126" t="s">
        <v>20</v>
      </c>
      <c r="D1126" t="s">
        <v>624</v>
      </c>
      <c r="E1126" t="s">
        <v>625</v>
      </c>
      <c r="F1126" t="s">
        <v>23</v>
      </c>
      <c r="G1126" s="91">
        <v>6050.79</v>
      </c>
      <c r="H1126" s="91"/>
      <c r="I1126" s="91">
        <v>0.799999669464648</v>
      </c>
      <c r="J1126" s="91">
        <v>4840.63</v>
      </c>
    </row>
    <row r="1127" spans="1:10">
      <c r="A1127" t="s">
        <v>888</v>
      </c>
      <c r="B1127" t="s">
        <v>889</v>
      </c>
      <c r="C1127" t="s">
        <v>20</v>
      </c>
      <c r="D1127" t="s">
        <v>624</v>
      </c>
      <c r="E1127" t="s">
        <v>626</v>
      </c>
      <c r="F1127" t="s">
        <v>23</v>
      </c>
      <c r="G1127" s="91">
        <v>6050.79</v>
      </c>
      <c r="H1127" s="91"/>
      <c r="I1127" s="91">
        <v>0.899999834732324</v>
      </c>
      <c r="J1127" s="91">
        <v>5445.71</v>
      </c>
    </row>
    <row r="1128" spans="1:10">
      <c r="A1128" t="s">
        <v>888</v>
      </c>
      <c r="B1128" t="s">
        <v>889</v>
      </c>
      <c r="C1128" t="s">
        <v>20</v>
      </c>
      <c r="D1128" t="s">
        <v>624</v>
      </c>
      <c r="E1128" t="s">
        <v>627</v>
      </c>
      <c r="F1128" t="s">
        <v>23</v>
      </c>
      <c r="G1128" s="91">
        <v>6050.79</v>
      </c>
      <c r="H1128" s="91"/>
      <c r="I1128" s="91">
        <v>3.10000016526768</v>
      </c>
      <c r="J1128" s="91">
        <v>18757.45</v>
      </c>
    </row>
    <row r="1129" spans="1:10">
      <c r="A1129" t="s">
        <v>888</v>
      </c>
      <c r="B1129" t="s">
        <v>889</v>
      </c>
      <c r="C1129" t="s">
        <v>20</v>
      </c>
      <c r="D1129" t="s">
        <v>624</v>
      </c>
      <c r="E1129" t="s">
        <v>628</v>
      </c>
      <c r="F1129" t="s">
        <v>23</v>
      </c>
      <c r="G1129" s="91">
        <v>7563.488</v>
      </c>
      <c r="H1129" s="91"/>
      <c r="I1129" s="91">
        <v>3.09999962980043</v>
      </c>
      <c r="J1129" s="91">
        <v>23446.81</v>
      </c>
    </row>
    <row r="1130" spans="1:10">
      <c r="A1130" t="s">
        <v>888</v>
      </c>
      <c r="B1130" t="s">
        <v>889</v>
      </c>
      <c r="C1130" t="s">
        <v>11</v>
      </c>
      <c r="D1130" t="s">
        <v>630</v>
      </c>
      <c r="E1130" t="s">
        <v>631</v>
      </c>
      <c r="F1130" t="s">
        <v>17</v>
      </c>
      <c r="G1130" s="91">
        <v>201.693</v>
      </c>
      <c r="H1130" s="91"/>
      <c r="I1130" s="91">
        <v>9380</v>
      </c>
      <c r="J1130" s="91">
        <v>1891880.34</v>
      </c>
    </row>
    <row r="1131" spans="1:10">
      <c r="A1131" t="s">
        <v>890</v>
      </c>
      <c r="B1131" t="s">
        <v>891</v>
      </c>
      <c r="C1131" t="s">
        <v>20</v>
      </c>
      <c r="D1131" t="s">
        <v>47</v>
      </c>
      <c r="E1131" t="s">
        <v>48</v>
      </c>
      <c r="F1131" t="s">
        <v>49</v>
      </c>
      <c r="G1131" s="91">
        <v>1076.592</v>
      </c>
      <c r="H1131" s="91"/>
      <c r="I1131" s="91">
        <v>75</v>
      </c>
      <c r="J1131" s="91">
        <v>80744.4</v>
      </c>
    </row>
    <row r="1132" spans="1:10">
      <c r="A1132" t="s">
        <v>890</v>
      </c>
      <c r="B1132" t="s">
        <v>891</v>
      </c>
      <c r="C1132" t="s">
        <v>20</v>
      </c>
      <c r="D1132" t="s">
        <v>624</v>
      </c>
      <c r="E1132" t="s">
        <v>625</v>
      </c>
      <c r="F1132" t="s">
        <v>23</v>
      </c>
      <c r="G1132" s="91">
        <v>2691.48</v>
      </c>
      <c r="H1132" s="91"/>
      <c r="I1132" s="91">
        <v>0.799998513828823</v>
      </c>
      <c r="J1132" s="91">
        <v>2153.18</v>
      </c>
    </row>
    <row r="1133" spans="1:10">
      <c r="A1133" t="s">
        <v>890</v>
      </c>
      <c r="B1133" t="s">
        <v>891</v>
      </c>
      <c r="C1133" t="s">
        <v>20</v>
      </c>
      <c r="D1133" t="s">
        <v>624</v>
      </c>
      <c r="E1133" t="s">
        <v>626</v>
      </c>
      <c r="F1133" t="s">
        <v>23</v>
      </c>
      <c r="G1133" s="91">
        <v>2691.48</v>
      </c>
      <c r="H1133" s="91"/>
      <c r="I1133" s="91">
        <v>0.899999256914411</v>
      </c>
      <c r="J1133" s="91">
        <v>2422.33</v>
      </c>
    </row>
    <row r="1134" spans="1:10">
      <c r="A1134" t="s">
        <v>890</v>
      </c>
      <c r="B1134" t="s">
        <v>891</v>
      </c>
      <c r="C1134" t="s">
        <v>20</v>
      </c>
      <c r="D1134" t="s">
        <v>624</v>
      </c>
      <c r="E1134" t="s">
        <v>627</v>
      </c>
      <c r="F1134" t="s">
        <v>23</v>
      </c>
      <c r="G1134" s="91">
        <v>2691.48</v>
      </c>
      <c r="H1134" s="91"/>
      <c r="I1134" s="91">
        <v>3.10000074308559</v>
      </c>
      <c r="J1134" s="91">
        <v>8343.59</v>
      </c>
    </row>
    <row r="1135" spans="1:10">
      <c r="A1135" t="s">
        <v>890</v>
      </c>
      <c r="B1135" t="s">
        <v>891</v>
      </c>
      <c r="C1135" t="s">
        <v>20</v>
      </c>
      <c r="D1135" t="s">
        <v>624</v>
      </c>
      <c r="E1135" t="s">
        <v>628</v>
      </c>
      <c r="F1135" t="s">
        <v>23</v>
      </c>
      <c r="G1135" s="91">
        <v>3364.35</v>
      </c>
      <c r="H1135" s="91"/>
      <c r="I1135" s="91">
        <v>3.10000148617118</v>
      </c>
      <c r="J1135" s="91">
        <v>10429.49</v>
      </c>
    </row>
    <row r="1136" spans="1:10">
      <c r="A1136" t="s">
        <v>890</v>
      </c>
      <c r="B1136" t="s">
        <v>891</v>
      </c>
      <c r="C1136" t="s">
        <v>11</v>
      </c>
      <c r="D1136" t="s">
        <v>630</v>
      </c>
      <c r="E1136" t="s">
        <v>631</v>
      </c>
      <c r="F1136" t="s">
        <v>17</v>
      </c>
      <c r="G1136" s="91">
        <v>89.716</v>
      </c>
      <c r="H1136" s="91"/>
      <c r="I1136" s="91">
        <v>9380</v>
      </c>
      <c r="J1136" s="91">
        <v>841536.08</v>
      </c>
    </row>
    <row r="1137" spans="1:10">
      <c r="A1137" t="s">
        <v>892</v>
      </c>
      <c r="B1137" t="s">
        <v>893</v>
      </c>
      <c r="C1137" t="s">
        <v>20</v>
      </c>
      <c r="D1137" t="s">
        <v>47</v>
      </c>
      <c r="E1137" t="s">
        <v>48</v>
      </c>
      <c r="F1137" t="s">
        <v>49</v>
      </c>
      <c r="G1137" s="91">
        <v>2309.772</v>
      </c>
      <c r="H1137" s="91"/>
      <c r="I1137" s="91">
        <v>75</v>
      </c>
      <c r="J1137" s="91">
        <v>173232.9</v>
      </c>
    </row>
    <row r="1138" spans="1:10">
      <c r="A1138" t="s">
        <v>892</v>
      </c>
      <c r="B1138" t="s">
        <v>893</v>
      </c>
      <c r="C1138" t="s">
        <v>20</v>
      </c>
      <c r="D1138" t="s">
        <v>624</v>
      </c>
      <c r="E1138" t="s">
        <v>625</v>
      </c>
      <c r="F1138" t="s">
        <v>23</v>
      </c>
      <c r="G1138" s="91">
        <v>5774.43</v>
      </c>
      <c r="H1138" s="91"/>
      <c r="I1138" s="91">
        <v>0.799999307290936</v>
      </c>
      <c r="J1138" s="91">
        <v>4619.54</v>
      </c>
    </row>
    <row r="1139" spans="1:10">
      <c r="A1139" t="s">
        <v>892</v>
      </c>
      <c r="B1139" t="s">
        <v>893</v>
      </c>
      <c r="C1139" t="s">
        <v>20</v>
      </c>
      <c r="D1139" t="s">
        <v>624</v>
      </c>
      <c r="E1139" t="s">
        <v>626</v>
      </c>
      <c r="F1139" t="s">
        <v>23</v>
      </c>
      <c r="G1139" s="91">
        <v>5774.43</v>
      </c>
      <c r="H1139" s="91"/>
      <c r="I1139" s="91">
        <v>0.900000519531798</v>
      </c>
      <c r="J1139" s="91">
        <v>5196.99</v>
      </c>
    </row>
    <row r="1140" spans="1:10">
      <c r="A1140" t="s">
        <v>892</v>
      </c>
      <c r="B1140" t="s">
        <v>893</v>
      </c>
      <c r="C1140" t="s">
        <v>20</v>
      </c>
      <c r="D1140" t="s">
        <v>624</v>
      </c>
      <c r="E1140" t="s">
        <v>627</v>
      </c>
      <c r="F1140" t="s">
        <v>23</v>
      </c>
      <c r="G1140" s="91">
        <v>5774.43</v>
      </c>
      <c r="H1140" s="91"/>
      <c r="I1140" s="91">
        <v>3.0999994804682</v>
      </c>
      <c r="J1140" s="91">
        <v>17900.73</v>
      </c>
    </row>
    <row r="1141" spans="1:10">
      <c r="A1141" t="s">
        <v>892</v>
      </c>
      <c r="B1141" t="s">
        <v>893</v>
      </c>
      <c r="C1141" t="s">
        <v>20</v>
      </c>
      <c r="D1141" t="s">
        <v>624</v>
      </c>
      <c r="E1141" t="s">
        <v>628</v>
      </c>
      <c r="F1141" t="s">
        <v>23</v>
      </c>
      <c r="G1141" s="91">
        <v>7218.037</v>
      </c>
      <c r="H1141" s="91"/>
      <c r="I1141" s="91">
        <v>3.09999934885343</v>
      </c>
      <c r="J1141" s="91">
        <v>22375.91</v>
      </c>
    </row>
    <row r="1142" spans="1:10">
      <c r="A1142" t="s">
        <v>892</v>
      </c>
      <c r="B1142" t="s">
        <v>893</v>
      </c>
      <c r="C1142" t="s">
        <v>11</v>
      </c>
      <c r="D1142" t="s">
        <v>630</v>
      </c>
      <c r="E1142" t="s">
        <v>631</v>
      </c>
      <c r="F1142" t="s">
        <v>17</v>
      </c>
      <c r="G1142" s="91">
        <v>192.481</v>
      </c>
      <c r="H1142" s="91"/>
      <c r="I1142" s="91">
        <v>9380</v>
      </c>
      <c r="J1142" s="91">
        <v>1805471.78</v>
      </c>
    </row>
    <row r="1143" spans="1:10">
      <c r="A1143" t="s">
        <v>894</v>
      </c>
      <c r="B1143" t="s">
        <v>895</v>
      </c>
      <c r="C1143" t="s">
        <v>11</v>
      </c>
      <c r="D1143" t="s">
        <v>634</v>
      </c>
      <c r="E1143" t="s">
        <v>635</v>
      </c>
      <c r="F1143" t="s">
        <v>23</v>
      </c>
      <c r="G1143" s="91">
        <v>10250.666</v>
      </c>
      <c r="H1143" s="91"/>
      <c r="I1143" s="91">
        <v>16.0000003902185</v>
      </c>
      <c r="J1143" s="91">
        <v>164010.66</v>
      </c>
    </row>
    <row r="1144" spans="1:10">
      <c r="A1144" t="s">
        <v>894</v>
      </c>
      <c r="B1144" t="s">
        <v>895</v>
      </c>
      <c r="C1144" t="s">
        <v>20</v>
      </c>
      <c r="D1144" t="s">
        <v>636</v>
      </c>
      <c r="E1144" t="s">
        <v>637</v>
      </c>
      <c r="F1144" t="s">
        <v>23</v>
      </c>
      <c r="G1144" s="91">
        <v>5125.333</v>
      </c>
      <c r="H1144" s="91"/>
      <c r="I1144" s="91">
        <v>40</v>
      </c>
      <c r="J1144" s="91">
        <v>205013.32</v>
      </c>
    </row>
    <row r="1145" spans="1:10">
      <c r="A1145" t="s">
        <v>896</v>
      </c>
      <c r="B1145" t="s">
        <v>897</v>
      </c>
      <c r="C1145" t="s">
        <v>11</v>
      </c>
      <c r="D1145" t="s">
        <v>634</v>
      </c>
      <c r="E1145" t="s">
        <v>640</v>
      </c>
      <c r="F1145" t="s">
        <v>23</v>
      </c>
      <c r="G1145" s="91">
        <v>5125.332</v>
      </c>
      <c r="H1145" s="91"/>
      <c r="I1145" s="91">
        <v>16.9999992195628</v>
      </c>
      <c r="J1145" s="91">
        <v>87130.64</v>
      </c>
    </row>
    <row r="1146" spans="1:10">
      <c r="A1146" t="s">
        <v>896</v>
      </c>
      <c r="B1146" t="s">
        <v>897</v>
      </c>
      <c r="C1146" t="s">
        <v>20</v>
      </c>
      <c r="D1146" t="s">
        <v>636</v>
      </c>
      <c r="E1146" t="s">
        <v>641</v>
      </c>
      <c r="F1146" t="s">
        <v>23</v>
      </c>
      <c r="G1146" s="91">
        <v>2562.666</v>
      </c>
      <c r="H1146" s="91"/>
      <c r="I1146" s="91">
        <v>58.9999984391255</v>
      </c>
      <c r="J1146" s="91">
        <v>151197.29</v>
      </c>
    </row>
    <row r="1147" spans="1:10">
      <c r="A1147" t="s">
        <v>898</v>
      </c>
      <c r="B1147" t="s">
        <v>899</v>
      </c>
      <c r="C1147" t="s">
        <v>11</v>
      </c>
      <c r="D1147" t="s">
        <v>634</v>
      </c>
      <c r="E1147" t="s">
        <v>650</v>
      </c>
      <c r="F1147" t="s">
        <v>23</v>
      </c>
      <c r="G1147" s="91">
        <v>2051.554</v>
      </c>
      <c r="H1147" s="91"/>
      <c r="I1147" s="91">
        <v>17.9999990251292</v>
      </c>
      <c r="J1147" s="91">
        <v>36927.97</v>
      </c>
    </row>
    <row r="1148" spans="1:10">
      <c r="A1148" t="s">
        <v>898</v>
      </c>
      <c r="B1148" t="s">
        <v>899</v>
      </c>
      <c r="C1148" t="s">
        <v>20</v>
      </c>
      <c r="D1148" t="s">
        <v>636</v>
      </c>
      <c r="E1148" t="s">
        <v>644</v>
      </c>
      <c r="F1148" t="s">
        <v>23</v>
      </c>
      <c r="G1148" s="91">
        <v>1025.777</v>
      </c>
      <c r="H1148" s="91"/>
      <c r="I1148" s="91">
        <v>102.999999025129</v>
      </c>
      <c r="J1148" s="91">
        <v>105655.03</v>
      </c>
    </row>
    <row r="1149" spans="1:10">
      <c r="A1149" t="s">
        <v>900</v>
      </c>
      <c r="B1149" t="s">
        <v>901</v>
      </c>
      <c r="C1149" t="s">
        <v>11</v>
      </c>
      <c r="D1149" t="s">
        <v>634</v>
      </c>
      <c r="E1149" t="s">
        <v>635</v>
      </c>
      <c r="F1149" t="s">
        <v>23</v>
      </c>
      <c r="G1149" s="91">
        <v>1025.776</v>
      </c>
      <c r="H1149" s="91"/>
      <c r="I1149" s="91">
        <v>16.0000038994868</v>
      </c>
      <c r="J1149" s="91">
        <v>16412.42</v>
      </c>
    </row>
    <row r="1150" spans="1:10">
      <c r="A1150" t="s">
        <v>900</v>
      </c>
      <c r="B1150" t="s">
        <v>901</v>
      </c>
      <c r="C1150" t="s">
        <v>11</v>
      </c>
      <c r="D1150" t="s">
        <v>634</v>
      </c>
      <c r="E1150" t="s">
        <v>640</v>
      </c>
      <c r="F1150" t="s">
        <v>23</v>
      </c>
      <c r="G1150" s="91">
        <v>1025.776</v>
      </c>
      <c r="H1150" s="91"/>
      <c r="I1150" s="91">
        <v>16.9999980502566</v>
      </c>
      <c r="J1150" s="91">
        <v>17438.19</v>
      </c>
    </row>
    <row r="1151" spans="1:10">
      <c r="A1151" t="s">
        <v>900</v>
      </c>
      <c r="B1151" t="s">
        <v>901</v>
      </c>
      <c r="C1151" t="s">
        <v>20</v>
      </c>
      <c r="D1151" t="s">
        <v>636</v>
      </c>
      <c r="E1151" t="s">
        <v>647</v>
      </c>
      <c r="F1151" t="s">
        <v>23</v>
      </c>
      <c r="G1151" s="91">
        <v>512.888</v>
      </c>
      <c r="H1151" s="91"/>
      <c r="I1151" s="91">
        <v>62.9999922010263</v>
      </c>
      <c r="J1151" s="91">
        <v>32311.94</v>
      </c>
    </row>
    <row r="1152" spans="1:10">
      <c r="A1152" t="s">
        <v>902</v>
      </c>
      <c r="B1152" t="s">
        <v>903</v>
      </c>
      <c r="C1152" t="s">
        <v>11</v>
      </c>
      <c r="D1152" t="s">
        <v>634</v>
      </c>
      <c r="E1152" t="s">
        <v>640</v>
      </c>
      <c r="F1152" t="s">
        <v>23</v>
      </c>
      <c r="G1152" s="91">
        <v>1025.776</v>
      </c>
      <c r="H1152" s="91"/>
      <c r="I1152" s="91">
        <v>16.9999980502566</v>
      </c>
      <c r="J1152" s="91">
        <v>17438.19</v>
      </c>
    </row>
    <row r="1153" spans="1:10">
      <c r="A1153" t="s">
        <v>902</v>
      </c>
      <c r="B1153" t="s">
        <v>903</v>
      </c>
      <c r="C1153" t="s">
        <v>11</v>
      </c>
      <c r="D1153" t="s">
        <v>634</v>
      </c>
      <c r="E1153" t="s">
        <v>650</v>
      </c>
      <c r="F1153" t="s">
        <v>23</v>
      </c>
      <c r="G1153" s="91">
        <v>1025.776</v>
      </c>
      <c r="H1153" s="91"/>
      <c r="I1153" s="91">
        <v>18.0000019497434</v>
      </c>
      <c r="J1153" s="91">
        <v>18463.97</v>
      </c>
    </row>
    <row r="1154" spans="1:10">
      <c r="A1154" t="s">
        <v>902</v>
      </c>
      <c r="B1154" t="s">
        <v>903</v>
      </c>
      <c r="C1154" t="s">
        <v>20</v>
      </c>
      <c r="D1154" t="s">
        <v>636</v>
      </c>
      <c r="E1154" t="s">
        <v>651</v>
      </c>
      <c r="F1154" t="s">
        <v>23</v>
      </c>
      <c r="G1154" s="91">
        <v>512.888</v>
      </c>
      <c r="H1154" s="91"/>
      <c r="I1154" s="91">
        <v>107.999992201026</v>
      </c>
      <c r="J1154" s="91">
        <v>55391.9</v>
      </c>
    </row>
    <row r="1155" spans="1:10">
      <c r="A1155" t="s">
        <v>904</v>
      </c>
      <c r="B1155" t="s">
        <v>905</v>
      </c>
      <c r="C1155" t="s">
        <v>11</v>
      </c>
      <c r="D1155" t="s">
        <v>634</v>
      </c>
      <c r="E1155" t="s">
        <v>635</v>
      </c>
      <c r="F1155" t="s">
        <v>23</v>
      </c>
      <c r="G1155" s="91">
        <v>1025.776</v>
      </c>
      <c r="H1155" s="91"/>
      <c r="I1155" s="91">
        <v>16.0000038994868</v>
      </c>
      <c r="J1155" s="91">
        <v>16412.42</v>
      </c>
    </row>
    <row r="1156" spans="1:10">
      <c r="A1156" t="s">
        <v>904</v>
      </c>
      <c r="B1156" t="s">
        <v>905</v>
      </c>
      <c r="C1156" t="s">
        <v>11</v>
      </c>
      <c r="D1156" t="s">
        <v>634</v>
      </c>
      <c r="E1156" t="s">
        <v>650</v>
      </c>
      <c r="F1156" t="s">
        <v>23</v>
      </c>
      <c r="G1156" s="91">
        <v>1025.776</v>
      </c>
      <c r="H1156" s="91"/>
      <c r="I1156" s="91">
        <v>18.0000019497434</v>
      </c>
      <c r="J1156" s="91">
        <v>18463.97</v>
      </c>
    </row>
    <row r="1157" spans="1:10">
      <c r="A1157" t="s">
        <v>904</v>
      </c>
      <c r="B1157" t="s">
        <v>905</v>
      </c>
      <c r="C1157" t="s">
        <v>20</v>
      </c>
      <c r="D1157" t="s">
        <v>636</v>
      </c>
      <c r="E1157" t="s">
        <v>654</v>
      </c>
      <c r="F1157" t="s">
        <v>23</v>
      </c>
      <c r="G1157" s="91">
        <v>512.888</v>
      </c>
      <c r="H1157" s="91"/>
      <c r="I1157" s="91">
        <v>108.999996100513</v>
      </c>
      <c r="J1157" s="91">
        <v>55904.79</v>
      </c>
    </row>
    <row r="1158" spans="1:10">
      <c r="A1158" t="s">
        <v>906</v>
      </c>
      <c r="B1158" t="s">
        <v>907</v>
      </c>
      <c r="C1158" t="s">
        <v>11</v>
      </c>
      <c r="D1158" t="s">
        <v>665</v>
      </c>
      <c r="E1158" t="s">
        <v>666</v>
      </c>
      <c r="F1158" t="s">
        <v>34</v>
      </c>
      <c r="G1158" s="91">
        <v>2037.079</v>
      </c>
      <c r="H1158" s="91"/>
      <c r="I1158" s="91">
        <v>61.2699998380033</v>
      </c>
      <c r="J1158" s="91">
        <v>124811.83</v>
      </c>
    </row>
    <row r="1159" spans="1:10">
      <c r="A1159" t="s">
        <v>906</v>
      </c>
      <c r="B1159" t="s">
        <v>907</v>
      </c>
      <c r="C1159" t="s">
        <v>11</v>
      </c>
      <c r="D1159" t="s">
        <v>12</v>
      </c>
      <c r="E1159" t="s">
        <v>13</v>
      </c>
      <c r="F1159" t="s">
        <v>14</v>
      </c>
      <c r="G1159" s="91">
        <v>190.604</v>
      </c>
      <c r="H1159" s="91"/>
      <c r="I1159" s="91">
        <v>450</v>
      </c>
      <c r="J1159" s="91">
        <v>85771.8</v>
      </c>
    </row>
    <row r="1160" spans="1:10">
      <c r="A1160" t="s">
        <v>906</v>
      </c>
      <c r="B1160" t="s">
        <v>907</v>
      </c>
      <c r="C1160" t="s">
        <v>11</v>
      </c>
      <c r="D1160" t="s">
        <v>12</v>
      </c>
      <c r="E1160" t="s">
        <v>15</v>
      </c>
      <c r="F1160" t="s">
        <v>14</v>
      </c>
      <c r="G1160" s="91">
        <v>29.782</v>
      </c>
      <c r="H1160" s="91"/>
      <c r="I1160" s="91">
        <v>600</v>
      </c>
      <c r="J1160" s="91">
        <v>17869.2</v>
      </c>
    </row>
    <row r="1161" spans="1:10">
      <c r="A1161" t="s">
        <v>906</v>
      </c>
      <c r="B1161" t="s">
        <v>907</v>
      </c>
      <c r="C1161" t="s">
        <v>11</v>
      </c>
      <c r="D1161" t="s">
        <v>12</v>
      </c>
      <c r="E1161" t="s">
        <v>28</v>
      </c>
      <c r="F1161" t="s">
        <v>14</v>
      </c>
      <c r="G1161" s="91">
        <v>8.935</v>
      </c>
      <c r="H1161" s="91"/>
      <c r="I1161" s="91">
        <v>600</v>
      </c>
      <c r="J1161" s="91">
        <v>5361</v>
      </c>
    </row>
    <row r="1162" spans="1:10">
      <c r="A1162" t="s">
        <v>906</v>
      </c>
      <c r="B1162" t="s">
        <v>907</v>
      </c>
      <c r="C1162" t="s">
        <v>20</v>
      </c>
      <c r="D1162" t="s">
        <v>59</v>
      </c>
      <c r="E1162" t="s">
        <v>667</v>
      </c>
      <c r="F1162" t="s">
        <v>49</v>
      </c>
      <c r="G1162" s="91">
        <v>565.855</v>
      </c>
      <c r="H1162" s="91"/>
      <c r="I1162" s="91">
        <v>42</v>
      </c>
      <c r="J1162" s="91">
        <v>23765.91</v>
      </c>
    </row>
    <row r="1163" spans="1:10">
      <c r="A1163" t="s">
        <v>906</v>
      </c>
      <c r="B1163" t="s">
        <v>907</v>
      </c>
      <c r="C1163" t="s">
        <v>20</v>
      </c>
      <c r="D1163" t="s">
        <v>59</v>
      </c>
      <c r="E1163" t="s">
        <v>668</v>
      </c>
      <c r="F1163" t="s">
        <v>49</v>
      </c>
      <c r="G1163" s="91">
        <v>762.415</v>
      </c>
      <c r="H1163" s="91"/>
      <c r="I1163" s="91">
        <v>15.0000065581081</v>
      </c>
      <c r="J1163" s="91">
        <v>11436.23</v>
      </c>
    </row>
    <row r="1164" spans="1:10">
      <c r="A1164" t="s">
        <v>906</v>
      </c>
      <c r="B1164" t="s">
        <v>907</v>
      </c>
      <c r="C1164" t="s">
        <v>20</v>
      </c>
      <c r="D1164" t="s">
        <v>59</v>
      </c>
      <c r="E1164" t="s">
        <v>60</v>
      </c>
      <c r="F1164" t="s">
        <v>49</v>
      </c>
      <c r="G1164" s="91">
        <v>334.748</v>
      </c>
      <c r="H1164" s="91"/>
      <c r="I1164" s="91">
        <v>17.0000119492872</v>
      </c>
      <c r="J1164" s="91">
        <v>5690.72</v>
      </c>
    </row>
    <row r="1165" spans="1:10">
      <c r="A1165" t="s">
        <v>906</v>
      </c>
      <c r="B1165" t="s">
        <v>907</v>
      </c>
      <c r="C1165" t="s">
        <v>20</v>
      </c>
      <c r="D1165" t="s">
        <v>106</v>
      </c>
      <c r="E1165" t="s">
        <v>669</v>
      </c>
      <c r="F1165" t="s">
        <v>108</v>
      </c>
      <c r="G1165" s="91">
        <v>607.55</v>
      </c>
      <c r="H1165" s="91"/>
      <c r="I1165" s="91">
        <v>4522</v>
      </c>
      <c r="J1165" s="91">
        <v>2747341.1</v>
      </c>
    </row>
    <row r="1166" spans="1:10">
      <c r="A1166" t="s">
        <v>908</v>
      </c>
      <c r="B1166" t="s">
        <v>909</v>
      </c>
      <c r="C1166" t="s">
        <v>11</v>
      </c>
      <c r="D1166" t="s">
        <v>665</v>
      </c>
      <c r="E1166" t="s">
        <v>666</v>
      </c>
      <c r="F1166" t="s">
        <v>34</v>
      </c>
      <c r="G1166" s="91">
        <v>1085.484</v>
      </c>
      <c r="H1166" s="91"/>
      <c r="I1166" s="91">
        <v>61.2699956885592</v>
      </c>
      <c r="J1166" s="91">
        <v>66507.6</v>
      </c>
    </row>
    <row r="1167" spans="1:10">
      <c r="A1167" t="s">
        <v>908</v>
      </c>
      <c r="B1167" t="s">
        <v>909</v>
      </c>
      <c r="C1167" t="s">
        <v>11</v>
      </c>
      <c r="D1167" t="s">
        <v>12</v>
      </c>
      <c r="E1167" t="s">
        <v>13</v>
      </c>
      <c r="F1167" t="s">
        <v>14</v>
      </c>
      <c r="G1167" s="91">
        <v>101.566</v>
      </c>
      <c r="H1167" s="91"/>
      <c r="I1167" s="91">
        <v>450</v>
      </c>
      <c r="J1167" s="91">
        <v>45704.7</v>
      </c>
    </row>
    <row r="1168" spans="1:10">
      <c r="A1168" t="s">
        <v>908</v>
      </c>
      <c r="B1168" t="s">
        <v>909</v>
      </c>
      <c r="C1168" t="s">
        <v>11</v>
      </c>
      <c r="D1168" t="s">
        <v>12</v>
      </c>
      <c r="E1168" t="s">
        <v>15</v>
      </c>
      <c r="F1168" t="s">
        <v>14</v>
      </c>
      <c r="G1168" s="91">
        <v>15.87</v>
      </c>
      <c r="H1168" s="91"/>
      <c r="I1168" s="91">
        <v>600</v>
      </c>
      <c r="J1168" s="91">
        <v>9522</v>
      </c>
    </row>
    <row r="1169" spans="1:10">
      <c r="A1169" t="s">
        <v>908</v>
      </c>
      <c r="B1169" t="s">
        <v>909</v>
      </c>
      <c r="C1169" t="s">
        <v>11</v>
      </c>
      <c r="D1169" t="s">
        <v>12</v>
      </c>
      <c r="E1169" t="s">
        <v>28</v>
      </c>
      <c r="F1169" t="s">
        <v>14</v>
      </c>
      <c r="G1169" s="91">
        <v>4.761</v>
      </c>
      <c r="H1169" s="91"/>
      <c r="I1169" s="91">
        <v>600</v>
      </c>
      <c r="J1169" s="91">
        <v>2856.6</v>
      </c>
    </row>
    <row r="1170" spans="1:10">
      <c r="A1170" t="s">
        <v>908</v>
      </c>
      <c r="B1170" t="s">
        <v>909</v>
      </c>
      <c r="C1170" t="s">
        <v>20</v>
      </c>
      <c r="D1170" t="s">
        <v>59</v>
      </c>
      <c r="E1170" t="s">
        <v>667</v>
      </c>
      <c r="F1170" t="s">
        <v>49</v>
      </c>
      <c r="G1170" s="91">
        <v>301.523</v>
      </c>
      <c r="H1170" s="91"/>
      <c r="I1170" s="91">
        <v>42.0000132659863</v>
      </c>
      <c r="J1170" s="91">
        <v>12663.97</v>
      </c>
    </row>
    <row r="1171" spans="1:10">
      <c r="A1171" t="s">
        <v>908</v>
      </c>
      <c r="B1171" t="s">
        <v>909</v>
      </c>
      <c r="C1171" t="s">
        <v>20</v>
      </c>
      <c r="D1171" t="s">
        <v>59</v>
      </c>
      <c r="E1171" t="s">
        <v>668</v>
      </c>
      <c r="F1171" t="s">
        <v>49</v>
      </c>
      <c r="G1171" s="91">
        <v>406.263</v>
      </c>
      <c r="H1171" s="91"/>
      <c r="I1171" s="91">
        <v>15.0000123072985</v>
      </c>
      <c r="J1171" s="91">
        <v>6093.95</v>
      </c>
    </row>
    <row r="1172" spans="1:10">
      <c r="A1172" t="s">
        <v>908</v>
      </c>
      <c r="B1172" t="s">
        <v>909</v>
      </c>
      <c r="C1172" t="s">
        <v>20</v>
      </c>
      <c r="D1172" t="s">
        <v>59</v>
      </c>
      <c r="E1172" t="s">
        <v>60</v>
      </c>
      <c r="F1172" t="s">
        <v>49</v>
      </c>
      <c r="G1172" s="91">
        <v>178.375</v>
      </c>
      <c r="H1172" s="91"/>
      <c r="I1172" s="91">
        <v>17.0000280308339</v>
      </c>
      <c r="J1172" s="91">
        <v>3032.38</v>
      </c>
    </row>
    <row r="1173" spans="1:10">
      <c r="A1173" t="s">
        <v>908</v>
      </c>
      <c r="B1173" t="s">
        <v>909</v>
      </c>
      <c r="C1173" t="s">
        <v>20</v>
      </c>
      <c r="D1173" t="s">
        <v>106</v>
      </c>
      <c r="E1173" t="s">
        <v>672</v>
      </c>
      <c r="F1173" t="s">
        <v>108</v>
      </c>
      <c r="G1173" s="91">
        <v>323.741</v>
      </c>
      <c r="H1173" s="91"/>
      <c r="I1173" s="91">
        <v>5000</v>
      </c>
      <c r="J1173" s="91">
        <v>1618705</v>
      </c>
    </row>
    <row r="1174" spans="1:10">
      <c r="A1174" t="s">
        <v>910</v>
      </c>
      <c r="B1174" t="s">
        <v>911</v>
      </c>
      <c r="C1174" t="s">
        <v>11</v>
      </c>
      <c r="D1174" t="s">
        <v>24</v>
      </c>
      <c r="E1174" t="s">
        <v>604</v>
      </c>
      <c r="F1174" t="s">
        <v>34</v>
      </c>
      <c r="G1174" s="91">
        <v>5554.373</v>
      </c>
      <c r="H1174" s="91"/>
      <c r="I1174" s="91">
        <v>50</v>
      </c>
      <c r="J1174" s="91">
        <v>277718.65</v>
      </c>
    </row>
    <row r="1175" spans="1:10">
      <c r="A1175" t="s">
        <v>910</v>
      </c>
      <c r="B1175" t="s">
        <v>911</v>
      </c>
      <c r="C1175" t="s">
        <v>11</v>
      </c>
      <c r="D1175" t="s">
        <v>24</v>
      </c>
      <c r="E1175" t="s">
        <v>605</v>
      </c>
      <c r="F1175" t="s">
        <v>34</v>
      </c>
      <c r="G1175" s="91">
        <v>1134.758</v>
      </c>
      <c r="H1175" s="91"/>
      <c r="I1175" s="91">
        <v>80</v>
      </c>
      <c r="J1175" s="91">
        <v>90780.64</v>
      </c>
    </row>
    <row r="1176" spans="1:10">
      <c r="A1176" t="s">
        <v>910</v>
      </c>
      <c r="B1176" t="s">
        <v>911</v>
      </c>
      <c r="C1176" t="s">
        <v>11</v>
      </c>
      <c r="D1176" t="s">
        <v>24</v>
      </c>
      <c r="E1176" t="s">
        <v>606</v>
      </c>
      <c r="F1176" t="s">
        <v>34</v>
      </c>
      <c r="G1176" s="91">
        <v>5554.373</v>
      </c>
      <c r="H1176" s="91"/>
      <c r="I1176" s="91">
        <v>272.000000720153</v>
      </c>
      <c r="J1176" s="91">
        <v>1510789.46</v>
      </c>
    </row>
    <row r="1177" spans="1:10">
      <c r="A1177" t="s">
        <v>910</v>
      </c>
      <c r="B1177" t="s">
        <v>911</v>
      </c>
      <c r="C1177" t="s">
        <v>20</v>
      </c>
      <c r="D1177" t="s">
        <v>47</v>
      </c>
      <c r="E1177" t="s">
        <v>50</v>
      </c>
      <c r="F1177" t="s">
        <v>49</v>
      </c>
      <c r="G1177" s="91">
        <v>166.631</v>
      </c>
      <c r="H1177" s="91"/>
      <c r="I1177" s="91">
        <v>60</v>
      </c>
      <c r="J1177" s="91">
        <v>9997.86</v>
      </c>
    </row>
    <row r="1178" spans="1:10">
      <c r="A1178" t="s">
        <v>910</v>
      </c>
      <c r="B1178" t="s">
        <v>911</v>
      </c>
      <c r="C1178" t="s">
        <v>20</v>
      </c>
      <c r="D1178" t="s">
        <v>61</v>
      </c>
      <c r="E1178" t="s">
        <v>78</v>
      </c>
      <c r="F1178" t="s">
        <v>49</v>
      </c>
      <c r="G1178" s="91">
        <v>155.486</v>
      </c>
      <c r="H1178" s="91"/>
      <c r="I1178" s="91">
        <v>95</v>
      </c>
      <c r="J1178" s="91">
        <v>14771.17</v>
      </c>
    </row>
    <row r="1179" spans="1:10">
      <c r="A1179" t="s">
        <v>910</v>
      </c>
      <c r="B1179" t="s">
        <v>911</v>
      </c>
      <c r="C1179" t="s">
        <v>20</v>
      </c>
      <c r="D1179" t="s">
        <v>61</v>
      </c>
      <c r="E1179" t="s">
        <v>607</v>
      </c>
      <c r="F1179" t="s">
        <v>23</v>
      </c>
      <c r="G1179" s="91">
        <v>62.194</v>
      </c>
      <c r="H1179" s="91"/>
      <c r="I1179" s="91">
        <v>115.200019294466</v>
      </c>
      <c r="J1179" s="91">
        <v>7164.75</v>
      </c>
    </row>
    <row r="1180" spans="1:10">
      <c r="A1180" t="s">
        <v>910</v>
      </c>
      <c r="B1180" t="s">
        <v>911</v>
      </c>
      <c r="C1180" t="s">
        <v>20</v>
      </c>
      <c r="D1180" t="s">
        <v>84</v>
      </c>
      <c r="E1180" t="s">
        <v>86</v>
      </c>
      <c r="F1180" t="s">
        <v>49</v>
      </c>
      <c r="G1180" s="91">
        <v>111.087</v>
      </c>
      <c r="H1180" s="91"/>
      <c r="I1180" s="91">
        <v>60</v>
      </c>
      <c r="J1180" s="91">
        <v>6665.22</v>
      </c>
    </row>
    <row r="1181" spans="1:10">
      <c r="A1181" t="s">
        <v>910</v>
      </c>
      <c r="B1181" t="s">
        <v>911</v>
      </c>
      <c r="C1181" t="s">
        <v>20</v>
      </c>
      <c r="D1181" t="s">
        <v>84</v>
      </c>
      <c r="E1181" t="s">
        <v>88</v>
      </c>
      <c r="F1181" t="s">
        <v>49</v>
      </c>
      <c r="G1181" s="91">
        <v>222.175</v>
      </c>
      <c r="H1181" s="91"/>
      <c r="I1181" s="91">
        <v>60</v>
      </c>
      <c r="J1181" s="91">
        <v>13330.5</v>
      </c>
    </row>
    <row r="1182" spans="1:10">
      <c r="A1182" t="s">
        <v>910</v>
      </c>
      <c r="B1182" t="s">
        <v>911</v>
      </c>
      <c r="C1182" t="s">
        <v>20</v>
      </c>
      <c r="D1182" t="s">
        <v>84</v>
      </c>
      <c r="E1182" t="s">
        <v>89</v>
      </c>
      <c r="F1182" t="s">
        <v>49</v>
      </c>
      <c r="G1182" s="91">
        <v>222.175</v>
      </c>
      <c r="H1182" s="91"/>
      <c r="I1182" s="91">
        <v>60</v>
      </c>
      <c r="J1182" s="91">
        <v>13330.5</v>
      </c>
    </row>
    <row r="1183" spans="1:10">
      <c r="A1183" t="s">
        <v>910</v>
      </c>
      <c r="B1183" t="s">
        <v>911</v>
      </c>
      <c r="C1183" t="s">
        <v>20</v>
      </c>
      <c r="D1183" t="s">
        <v>84</v>
      </c>
      <c r="E1183" t="s">
        <v>608</v>
      </c>
      <c r="F1183" t="s">
        <v>100</v>
      </c>
      <c r="G1183" s="91">
        <v>7470.632</v>
      </c>
      <c r="H1183" s="91"/>
      <c r="I1183" s="91">
        <v>66.9999994645701</v>
      </c>
      <c r="J1183" s="91">
        <v>500532.34</v>
      </c>
    </row>
    <row r="1184" spans="1:10">
      <c r="A1184" t="s">
        <v>910</v>
      </c>
      <c r="B1184" t="s">
        <v>911</v>
      </c>
      <c r="C1184" t="s">
        <v>20</v>
      </c>
      <c r="D1184" t="s">
        <v>84</v>
      </c>
      <c r="E1184" t="s">
        <v>609</v>
      </c>
      <c r="F1184" t="s">
        <v>63</v>
      </c>
      <c r="G1184" s="91">
        <v>222.175</v>
      </c>
      <c r="H1184" s="91"/>
      <c r="I1184" s="91">
        <v>135.000022504782</v>
      </c>
      <c r="J1184" s="91">
        <v>29993.63</v>
      </c>
    </row>
    <row r="1185" spans="1:10">
      <c r="A1185" t="s">
        <v>910</v>
      </c>
      <c r="B1185" t="s">
        <v>911</v>
      </c>
      <c r="C1185" t="s">
        <v>20</v>
      </c>
      <c r="D1185" t="s">
        <v>84</v>
      </c>
      <c r="E1185" t="s">
        <v>610</v>
      </c>
      <c r="F1185" t="s">
        <v>611</v>
      </c>
      <c r="G1185" s="91">
        <v>511.002</v>
      </c>
      <c r="H1185" s="91"/>
      <c r="I1185" s="91">
        <v>395</v>
      </c>
      <c r="J1185" s="91">
        <v>201845.79</v>
      </c>
    </row>
    <row r="1186" spans="1:10">
      <c r="A1186" t="s">
        <v>910</v>
      </c>
      <c r="B1186" t="s">
        <v>911</v>
      </c>
      <c r="C1186" t="s">
        <v>20</v>
      </c>
      <c r="D1186" t="s">
        <v>84</v>
      </c>
      <c r="E1186" t="s">
        <v>612</v>
      </c>
      <c r="F1186" t="s">
        <v>611</v>
      </c>
      <c r="G1186" s="91">
        <v>399.915</v>
      </c>
      <c r="H1186" s="91"/>
      <c r="I1186" s="91">
        <v>295.000012502657</v>
      </c>
      <c r="J1186" s="91">
        <v>117974.93</v>
      </c>
    </row>
    <row r="1187" spans="1:10">
      <c r="A1187" t="s">
        <v>912</v>
      </c>
      <c r="B1187" t="s">
        <v>913</v>
      </c>
      <c r="C1187" t="s">
        <v>20</v>
      </c>
      <c r="D1187" t="s">
        <v>47</v>
      </c>
      <c r="E1187" t="s">
        <v>48</v>
      </c>
      <c r="F1187" t="s">
        <v>49</v>
      </c>
      <c r="G1187" s="91">
        <v>1277.076</v>
      </c>
      <c r="H1187" s="91"/>
      <c r="I1187" s="91">
        <v>75</v>
      </c>
      <c r="J1187" s="91">
        <v>95780.7</v>
      </c>
    </row>
    <row r="1188" spans="1:10">
      <c r="A1188" t="s">
        <v>912</v>
      </c>
      <c r="B1188" t="s">
        <v>913</v>
      </c>
      <c r="C1188" t="s">
        <v>20</v>
      </c>
      <c r="D1188" t="s">
        <v>624</v>
      </c>
      <c r="E1188" t="s">
        <v>625</v>
      </c>
      <c r="F1188" t="s">
        <v>23</v>
      </c>
      <c r="G1188" s="91">
        <v>3192.69</v>
      </c>
      <c r="H1188" s="91"/>
      <c r="I1188" s="91">
        <v>0.799999373568997</v>
      </c>
      <c r="J1188" s="91">
        <v>2554.15</v>
      </c>
    </row>
    <row r="1189" spans="1:10">
      <c r="A1189" t="s">
        <v>912</v>
      </c>
      <c r="B1189" t="s">
        <v>913</v>
      </c>
      <c r="C1189" t="s">
        <v>20</v>
      </c>
      <c r="D1189" t="s">
        <v>624</v>
      </c>
      <c r="E1189" t="s">
        <v>626</v>
      </c>
      <c r="F1189" t="s">
        <v>23</v>
      </c>
      <c r="G1189" s="91">
        <v>3192.69</v>
      </c>
      <c r="H1189" s="91"/>
      <c r="I1189" s="91">
        <v>0.899999686784498</v>
      </c>
      <c r="J1189" s="91">
        <v>2873.42</v>
      </c>
    </row>
    <row r="1190" spans="1:10">
      <c r="A1190" t="s">
        <v>912</v>
      </c>
      <c r="B1190" t="s">
        <v>913</v>
      </c>
      <c r="C1190" t="s">
        <v>20</v>
      </c>
      <c r="D1190" t="s">
        <v>624</v>
      </c>
      <c r="E1190" t="s">
        <v>627</v>
      </c>
      <c r="F1190" t="s">
        <v>23</v>
      </c>
      <c r="G1190" s="91">
        <v>3192.69</v>
      </c>
      <c r="H1190" s="91"/>
      <c r="I1190" s="91">
        <v>3.1000003132155</v>
      </c>
      <c r="J1190" s="91">
        <v>9897.34</v>
      </c>
    </row>
    <row r="1191" spans="1:10">
      <c r="A1191" t="s">
        <v>912</v>
      </c>
      <c r="B1191" t="s">
        <v>913</v>
      </c>
      <c r="C1191" t="s">
        <v>20</v>
      </c>
      <c r="D1191" t="s">
        <v>624</v>
      </c>
      <c r="E1191" t="s">
        <v>628</v>
      </c>
      <c r="F1191" t="s">
        <v>23</v>
      </c>
      <c r="G1191" s="91">
        <v>3990.863</v>
      </c>
      <c r="H1191" s="91"/>
      <c r="I1191" s="91">
        <v>3.10000117769014</v>
      </c>
      <c r="J1191" s="91">
        <v>12371.68</v>
      </c>
    </row>
    <row r="1192" spans="1:10">
      <c r="A1192" t="s">
        <v>912</v>
      </c>
      <c r="B1192" t="s">
        <v>913</v>
      </c>
      <c r="C1192" t="s">
        <v>20</v>
      </c>
      <c r="D1192" t="s">
        <v>624</v>
      </c>
      <c r="E1192" t="s">
        <v>629</v>
      </c>
      <c r="F1192" t="s">
        <v>23</v>
      </c>
      <c r="G1192" s="91">
        <v>1596.345</v>
      </c>
      <c r="H1192" s="91"/>
      <c r="I1192" s="91">
        <v>6.49999843392249</v>
      </c>
      <c r="J1192" s="91">
        <v>10376.24</v>
      </c>
    </row>
    <row r="1193" spans="1:10">
      <c r="A1193" t="s">
        <v>912</v>
      </c>
      <c r="B1193" t="s">
        <v>913</v>
      </c>
      <c r="C1193" t="s">
        <v>11</v>
      </c>
      <c r="D1193" t="s">
        <v>630</v>
      </c>
      <c r="E1193" t="s">
        <v>631</v>
      </c>
      <c r="F1193" t="s">
        <v>17</v>
      </c>
      <c r="G1193" s="91">
        <v>106.423</v>
      </c>
      <c r="H1193" s="91"/>
      <c r="I1193" s="91">
        <v>9380</v>
      </c>
      <c r="J1193" s="91">
        <v>998247.74</v>
      </c>
    </row>
    <row r="1194" spans="1:10">
      <c r="A1194" t="s">
        <v>914</v>
      </c>
      <c r="B1194" t="s">
        <v>915</v>
      </c>
      <c r="C1194" t="s">
        <v>11</v>
      </c>
      <c r="D1194" t="s">
        <v>618</v>
      </c>
      <c r="E1194" t="s">
        <v>619</v>
      </c>
      <c r="F1194" t="s">
        <v>23</v>
      </c>
      <c r="G1194" s="91">
        <v>42</v>
      </c>
      <c r="H1194" s="91"/>
      <c r="I1194" s="91">
        <v>4750</v>
      </c>
      <c r="J1194" s="91">
        <v>199500</v>
      </c>
    </row>
    <row r="1195" spans="1:10">
      <c r="A1195" t="s">
        <v>914</v>
      </c>
      <c r="B1195" t="s">
        <v>915</v>
      </c>
      <c r="C1195" t="s">
        <v>11</v>
      </c>
      <c r="D1195" t="s">
        <v>618</v>
      </c>
      <c r="E1195" t="s">
        <v>620</v>
      </c>
      <c r="F1195" t="s">
        <v>23</v>
      </c>
      <c r="G1195" s="91">
        <v>6</v>
      </c>
      <c r="H1195" s="91"/>
      <c r="I1195" s="91">
        <v>2375</v>
      </c>
      <c r="J1195" s="91">
        <v>14250</v>
      </c>
    </row>
    <row r="1196" spans="1:10">
      <c r="A1196" t="s">
        <v>914</v>
      </c>
      <c r="B1196" t="s">
        <v>915</v>
      </c>
      <c r="C1196" t="s">
        <v>11</v>
      </c>
      <c r="D1196" t="s">
        <v>618</v>
      </c>
      <c r="E1196" t="s">
        <v>621</v>
      </c>
      <c r="F1196" t="s">
        <v>23</v>
      </c>
      <c r="G1196" s="91">
        <v>1.002</v>
      </c>
      <c r="H1196" s="91"/>
      <c r="I1196" s="91">
        <v>3000</v>
      </c>
      <c r="J1196" s="91">
        <v>3006</v>
      </c>
    </row>
    <row r="1197" spans="1:10">
      <c r="A1197" t="s">
        <v>916</v>
      </c>
      <c r="B1197" t="s">
        <v>917</v>
      </c>
      <c r="C1197" t="s">
        <v>11</v>
      </c>
      <c r="D1197" t="s">
        <v>12</v>
      </c>
      <c r="E1197" t="s">
        <v>13</v>
      </c>
      <c r="F1197" t="s">
        <v>14</v>
      </c>
      <c r="G1197" s="91">
        <v>855.934</v>
      </c>
      <c r="H1197" s="91"/>
      <c r="I1197" s="91">
        <v>450</v>
      </c>
      <c r="J1197" s="91">
        <v>385170.3</v>
      </c>
    </row>
    <row r="1198" spans="1:10">
      <c r="A1198" t="s">
        <v>916</v>
      </c>
      <c r="B1198" t="s">
        <v>917</v>
      </c>
      <c r="C1198" t="s">
        <v>20</v>
      </c>
      <c r="D1198" t="s">
        <v>576</v>
      </c>
      <c r="E1198" t="s">
        <v>918</v>
      </c>
      <c r="F1198" t="s">
        <v>100</v>
      </c>
      <c r="G1198" s="91">
        <v>14624.239</v>
      </c>
      <c r="H1198" s="91"/>
      <c r="I1198" s="91">
        <v>47.9999998632407</v>
      </c>
      <c r="J1198" s="91">
        <v>701963.47</v>
      </c>
    </row>
    <row r="1199" spans="1:10">
      <c r="A1199" t="s">
        <v>916</v>
      </c>
      <c r="B1199" t="s">
        <v>917</v>
      </c>
      <c r="C1199" t="s">
        <v>20</v>
      </c>
      <c r="D1199" t="s">
        <v>104</v>
      </c>
      <c r="E1199" t="s">
        <v>919</v>
      </c>
      <c r="F1199" t="s">
        <v>49</v>
      </c>
      <c r="G1199" s="91">
        <v>183.414</v>
      </c>
      <c r="H1199" s="91"/>
      <c r="I1199" s="91">
        <v>70</v>
      </c>
      <c r="J1199" s="91">
        <v>12838.98</v>
      </c>
    </row>
    <row r="1200" spans="1:10">
      <c r="A1200" t="s">
        <v>916</v>
      </c>
      <c r="B1200" t="s">
        <v>917</v>
      </c>
      <c r="C1200" t="s">
        <v>20</v>
      </c>
      <c r="D1200" t="s">
        <v>112</v>
      </c>
      <c r="E1200" t="s">
        <v>113</v>
      </c>
      <c r="F1200" t="s">
        <v>46</v>
      </c>
      <c r="G1200" s="91">
        <v>47.552</v>
      </c>
      <c r="H1200" s="91"/>
      <c r="I1200" s="91">
        <v>3250</v>
      </c>
      <c r="J1200" s="91">
        <v>154544</v>
      </c>
    </row>
    <row r="1201" spans="1:10">
      <c r="A1201" t="s">
        <v>920</v>
      </c>
      <c r="B1201" t="s">
        <v>921</v>
      </c>
      <c r="C1201" t="s">
        <v>20</v>
      </c>
      <c r="D1201" t="s">
        <v>102</v>
      </c>
      <c r="E1201" t="s">
        <v>103</v>
      </c>
      <c r="F1201" t="s">
        <v>46</v>
      </c>
      <c r="G1201" s="91">
        <v>10.41</v>
      </c>
      <c r="H1201" s="91"/>
      <c r="I1201" s="91">
        <v>800</v>
      </c>
      <c r="J1201" s="91">
        <v>8328</v>
      </c>
    </row>
    <row r="1202" spans="1:10">
      <c r="A1202" t="s">
        <v>920</v>
      </c>
      <c r="B1202" t="s">
        <v>921</v>
      </c>
      <c r="C1202" t="s">
        <v>20</v>
      </c>
      <c r="D1202" t="s">
        <v>596</v>
      </c>
      <c r="E1202" t="s">
        <v>597</v>
      </c>
      <c r="F1202" t="s">
        <v>46</v>
      </c>
      <c r="G1202" s="91">
        <v>54.109</v>
      </c>
      <c r="H1202" s="91"/>
      <c r="I1202" s="91">
        <v>2200</v>
      </c>
      <c r="J1202" s="91">
        <v>119039.8</v>
      </c>
    </row>
    <row r="1203" spans="1:10">
      <c r="A1203" t="s">
        <v>920</v>
      </c>
      <c r="B1203" t="s">
        <v>921</v>
      </c>
      <c r="C1203" t="s">
        <v>11</v>
      </c>
      <c r="D1203" t="s">
        <v>598</v>
      </c>
      <c r="E1203" t="s">
        <v>599</v>
      </c>
      <c r="F1203" t="s">
        <v>34</v>
      </c>
      <c r="G1203" s="91">
        <v>579.412</v>
      </c>
      <c r="H1203" s="91"/>
      <c r="I1203" s="91">
        <v>86.1100046253788</v>
      </c>
      <c r="J1203" s="91">
        <v>49893.17</v>
      </c>
    </row>
    <row r="1204" spans="1:10">
      <c r="A1204" t="s">
        <v>920</v>
      </c>
      <c r="B1204" t="s">
        <v>921</v>
      </c>
      <c r="C1204" t="s">
        <v>20</v>
      </c>
      <c r="D1204" t="s">
        <v>600</v>
      </c>
      <c r="E1204" t="s">
        <v>601</v>
      </c>
      <c r="F1204" t="s">
        <v>63</v>
      </c>
      <c r="G1204" s="91">
        <v>2897.058</v>
      </c>
      <c r="H1204" s="91"/>
      <c r="I1204" s="91">
        <v>0.0799983983751792</v>
      </c>
      <c r="J1204" s="91">
        <v>231.76</v>
      </c>
    </row>
    <row r="1205" spans="1:10">
      <c r="A1205" t="s">
        <v>922</v>
      </c>
      <c r="B1205" t="s">
        <v>923</v>
      </c>
      <c r="C1205" t="s">
        <v>11</v>
      </c>
      <c r="D1205" t="s">
        <v>24</v>
      </c>
      <c r="E1205" t="s">
        <v>604</v>
      </c>
      <c r="F1205" t="s">
        <v>34</v>
      </c>
      <c r="G1205" s="91">
        <v>14682.505</v>
      </c>
      <c r="H1205" s="91"/>
      <c r="I1205" s="91">
        <v>50</v>
      </c>
      <c r="J1205" s="91">
        <v>734125.25</v>
      </c>
    </row>
    <row r="1206" spans="1:10">
      <c r="A1206" t="s">
        <v>922</v>
      </c>
      <c r="B1206" t="s">
        <v>923</v>
      </c>
      <c r="C1206" t="s">
        <v>11</v>
      </c>
      <c r="D1206" t="s">
        <v>24</v>
      </c>
      <c r="E1206" t="s">
        <v>605</v>
      </c>
      <c r="F1206" t="s">
        <v>34</v>
      </c>
      <c r="G1206" s="91">
        <v>2999.636</v>
      </c>
      <c r="H1206" s="91"/>
      <c r="I1206" s="91">
        <v>80</v>
      </c>
      <c r="J1206" s="91">
        <v>239970.88</v>
      </c>
    </row>
    <row r="1207" spans="1:10">
      <c r="A1207" t="s">
        <v>922</v>
      </c>
      <c r="B1207" t="s">
        <v>923</v>
      </c>
      <c r="C1207" t="s">
        <v>11</v>
      </c>
      <c r="D1207" t="s">
        <v>24</v>
      </c>
      <c r="E1207" t="s">
        <v>606</v>
      </c>
      <c r="F1207" t="s">
        <v>34</v>
      </c>
      <c r="G1207" s="91">
        <v>14682.505</v>
      </c>
      <c r="H1207" s="91"/>
      <c r="I1207" s="91">
        <v>272</v>
      </c>
      <c r="J1207" s="91">
        <v>3993641.36</v>
      </c>
    </row>
    <row r="1208" spans="1:10">
      <c r="A1208" t="s">
        <v>922</v>
      </c>
      <c r="B1208" t="s">
        <v>923</v>
      </c>
      <c r="C1208" t="s">
        <v>20</v>
      </c>
      <c r="D1208" t="s">
        <v>47</v>
      </c>
      <c r="E1208" t="s">
        <v>50</v>
      </c>
      <c r="F1208" t="s">
        <v>49</v>
      </c>
      <c r="G1208" s="91">
        <v>440.475</v>
      </c>
      <c r="H1208" s="91"/>
      <c r="I1208" s="91">
        <v>60</v>
      </c>
      <c r="J1208" s="91">
        <v>26428.5</v>
      </c>
    </row>
    <row r="1209" spans="1:10">
      <c r="A1209" t="s">
        <v>922</v>
      </c>
      <c r="B1209" t="s">
        <v>923</v>
      </c>
      <c r="C1209" t="s">
        <v>20</v>
      </c>
      <c r="D1209" t="s">
        <v>61</v>
      </c>
      <c r="E1209" t="s">
        <v>78</v>
      </c>
      <c r="F1209" t="s">
        <v>49</v>
      </c>
      <c r="G1209" s="91">
        <v>411.013</v>
      </c>
      <c r="H1209" s="91"/>
      <c r="I1209" s="91">
        <v>95.0000121650653</v>
      </c>
      <c r="J1209" s="91">
        <v>39046.24</v>
      </c>
    </row>
    <row r="1210" spans="1:10">
      <c r="A1210" t="s">
        <v>922</v>
      </c>
      <c r="B1210" t="s">
        <v>923</v>
      </c>
      <c r="C1210" t="s">
        <v>20</v>
      </c>
      <c r="D1210" t="s">
        <v>61</v>
      </c>
      <c r="E1210" t="s">
        <v>607</v>
      </c>
      <c r="F1210" t="s">
        <v>23</v>
      </c>
      <c r="G1210" s="91">
        <v>164.405</v>
      </c>
      <c r="H1210" s="91"/>
      <c r="I1210" s="91">
        <v>115.20002433016</v>
      </c>
      <c r="J1210" s="91">
        <v>18939.46</v>
      </c>
    </row>
    <row r="1211" spans="1:10">
      <c r="A1211" t="s">
        <v>922</v>
      </c>
      <c r="B1211" t="s">
        <v>923</v>
      </c>
      <c r="C1211" t="s">
        <v>20</v>
      </c>
      <c r="D1211" t="s">
        <v>84</v>
      </c>
      <c r="E1211" t="s">
        <v>86</v>
      </c>
      <c r="F1211" t="s">
        <v>49</v>
      </c>
      <c r="G1211" s="91">
        <v>293.65</v>
      </c>
      <c r="H1211" s="91"/>
      <c r="I1211" s="91">
        <v>60</v>
      </c>
      <c r="J1211" s="91">
        <v>17619</v>
      </c>
    </row>
    <row r="1212" spans="1:10">
      <c r="A1212" t="s">
        <v>922</v>
      </c>
      <c r="B1212" t="s">
        <v>923</v>
      </c>
      <c r="C1212" t="s">
        <v>20</v>
      </c>
      <c r="D1212" t="s">
        <v>84</v>
      </c>
      <c r="E1212" t="s">
        <v>88</v>
      </c>
      <c r="F1212" t="s">
        <v>49</v>
      </c>
      <c r="G1212" s="91">
        <v>587.3</v>
      </c>
      <c r="H1212" s="91"/>
      <c r="I1212" s="91">
        <v>60</v>
      </c>
      <c r="J1212" s="91">
        <v>35238</v>
      </c>
    </row>
    <row r="1213" spans="1:10">
      <c r="A1213" t="s">
        <v>922</v>
      </c>
      <c r="B1213" t="s">
        <v>923</v>
      </c>
      <c r="C1213" t="s">
        <v>20</v>
      </c>
      <c r="D1213" t="s">
        <v>84</v>
      </c>
      <c r="E1213" t="s">
        <v>89</v>
      </c>
      <c r="F1213" t="s">
        <v>49</v>
      </c>
      <c r="G1213" s="91">
        <v>587.3</v>
      </c>
      <c r="H1213" s="91"/>
      <c r="I1213" s="91">
        <v>60</v>
      </c>
      <c r="J1213" s="91">
        <v>35238</v>
      </c>
    </row>
    <row r="1214" spans="1:10">
      <c r="A1214" t="s">
        <v>922</v>
      </c>
      <c r="B1214" t="s">
        <v>923</v>
      </c>
      <c r="C1214" t="s">
        <v>20</v>
      </c>
      <c r="D1214" t="s">
        <v>84</v>
      </c>
      <c r="E1214" t="s">
        <v>608</v>
      </c>
      <c r="F1214" t="s">
        <v>100</v>
      </c>
      <c r="G1214" s="91">
        <v>19747.969</v>
      </c>
      <c r="H1214" s="91"/>
      <c r="I1214" s="91">
        <v>66.9999998480856</v>
      </c>
      <c r="J1214" s="91">
        <v>1323113.92</v>
      </c>
    </row>
    <row r="1215" spans="1:10">
      <c r="A1215" t="s">
        <v>922</v>
      </c>
      <c r="B1215" t="s">
        <v>923</v>
      </c>
      <c r="C1215" t="s">
        <v>20</v>
      </c>
      <c r="D1215" t="s">
        <v>84</v>
      </c>
      <c r="E1215" t="s">
        <v>609</v>
      </c>
      <c r="F1215" t="s">
        <v>63</v>
      </c>
      <c r="G1215" s="91">
        <v>587.3</v>
      </c>
      <c r="H1215" s="91"/>
      <c r="I1215" s="91">
        <v>135</v>
      </c>
      <c r="J1215" s="91">
        <v>79285.5</v>
      </c>
    </row>
    <row r="1216" spans="1:10">
      <c r="A1216" t="s">
        <v>922</v>
      </c>
      <c r="B1216" t="s">
        <v>923</v>
      </c>
      <c r="C1216" t="s">
        <v>20</v>
      </c>
      <c r="D1216" t="s">
        <v>84</v>
      </c>
      <c r="E1216" t="s">
        <v>683</v>
      </c>
      <c r="F1216" t="s">
        <v>611</v>
      </c>
      <c r="G1216" s="91">
        <v>1203</v>
      </c>
      <c r="H1216" s="91"/>
      <c r="I1216" s="91">
        <v>205</v>
      </c>
      <c r="J1216" s="91">
        <v>246615</v>
      </c>
    </row>
    <row r="1217" spans="1:10">
      <c r="A1217" t="s">
        <v>922</v>
      </c>
      <c r="B1217" t="s">
        <v>923</v>
      </c>
      <c r="C1217" t="s">
        <v>20</v>
      </c>
      <c r="D1217" t="s">
        <v>84</v>
      </c>
      <c r="E1217" t="s">
        <v>610</v>
      </c>
      <c r="F1217" t="s">
        <v>611</v>
      </c>
      <c r="G1217" s="91">
        <v>675.395</v>
      </c>
      <c r="H1217" s="91"/>
      <c r="I1217" s="91">
        <v>395.000007403075</v>
      </c>
      <c r="J1217" s="91">
        <v>266781.03</v>
      </c>
    </row>
    <row r="1218" spans="1:10">
      <c r="A1218" t="s">
        <v>922</v>
      </c>
      <c r="B1218" t="s">
        <v>923</v>
      </c>
      <c r="C1218" t="s">
        <v>20</v>
      </c>
      <c r="D1218" t="s">
        <v>84</v>
      </c>
      <c r="E1218" t="s">
        <v>612</v>
      </c>
      <c r="F1218" t="s">
        <v>611</v>
      </c>
      <c r="G1218" s="91">
        <v>528.57</v>
      </c>
      <c r="H1218" s="91"/>
      <c r="I1218" s="91">
        <v>295</v>
      </c>
      <c r="J1218" s="91">
        <v>155928.15</v>
      </c>
    </row>
    <row r="1219" spans="1:10">
      <c r="A1219" t="s">
        <v>922</v>
      </c>
      <c r="B1219" t="s">
        <v>923</v>
      </c>
      <c r="C1219" t="s">
        <v>20</v>
      </c>
      <c r="D1219" t="s">
        <v>84</v>
      </c>
      <c r="E1219" t="s">
        <v>684</v>
      </c>
      <c r="F1219" t="s">
        <v>23</v>
      </c>
      <c r="G1219" s="91">
        <v>2496.026</v>
      </c>
      <c r="H1219" s="91"/>
      <c r="I1219" s="91">
        <v>38.0000008012737</v>
      </c>
      <c r="J1219" s="91">
        <v>94848.99</v>
      </c>
    </row>
    <row r="1220" spans="1:10">
      <c r="A1220" t="s">
        <v>922</v>
      </c>
      <c r="B1220" t="s">
        <v>923</v>
      </c>
      <c r="C1220" t="s">
        <v>11</v>
      </c>
      <c r="D1220" t="s">
        <v>613</v>
      </c>
      <c r="E1220" t="s">
        <v>614</v>
      </c>
      <c r="F1220" t="s">
        <v>108</v>
      </c>
      <c r="G1220" s="91">
        <v>1526.981</v>
      </c>
      <c r="H1220" s="91"/>
      <c r="I1220" s="91">
        <v>40</v>
      </c>
      <c r="J1220" s="91">
        <v>61079.24</v>
      </c>
    </row>
    <row r="1221" spans="1:10">
      <c r="A1221" t="s">
        <v>922</v>
      </c>
      <c r="B1221" t="s">
        <v>923</v>
      </c>
      <c r="C1221" t="s">
        <v>11</v>
      </c>
      <c r="D1221" t="s">
        <v>613</v>
      </c>
      <c r="E1221" t="s">
        <v>615</v>
      </c>
      <c r="F1221" t="s">
        <v>108</v>
      </c>
      <c r="G1221" s="91">
        <v>1526.981</v>
      </c>
      <c r="H1221" s="91"/>
      <c r="I1221" s="91">
        <v>30</v>
      </c>
      <c r="J1221" s="91">
        <v>45809.43</v>
      </c>
    </row>
    <row r="1222" spans="1:10">
      <c r="A1222" t="s">
        <v>924</v>
      </c>
      <c r="B1222" t="s">
        <v>925</v>
      </c>
      <c r="C1222" t="s">
        <v>20</v>
      </c>
      <c r="D1222" t="s">
        <v>47</v>
      </c>
      <c r="E1222" t="s">
        <v>48</v>
      </c>
      <c r="F1222" t="s">
        <v>49</v>
      </c>
      <c r="G1222" s="91">
        <v>5031.132</v>
      </c>
      <c r="H1222" s="91"/>
      <c r="I1222" s="91">
        <v>75</v>
      </c>
      <c r="J1222" s="91">
        <v>377334.9</v>
      </c>
    </row>
    <row r="1223" spans="1:10">
      <c r="A1223" t="s">
        <v>924</v>
      </c>
      <c r="B1223" t="s">
        <v>925</v>
      </c>
      <c r="C1223" t="s">
        <v>20</v>
      </c>
      <c r="D1223" t="s">
        <v>624</v>
      </c>
      <c r="E1223" t="s">
        <v>625</v>
      </c>
      <c r="F1223" t="s">
        <v>23</v>
      </c>
      <c r="G1223" s="91">
        <v>12577.83</v>
      </c>
      <c r="H1223" s="91"/>
      <c r="I1223" s="91">
        <v>0.799999681980119</v>
      </c>
      <c r="J1223" s="91">
        <v>10062.26</v>
      </c>
    </row>
    <row r="1224" spans="1:10">
      <c r="A1224" t="s">
        <v>924</v>
      </c>
      <c r="B1224" t="s">
        <v>925</v>
      </c>
      <c r="C1224" t="s">
        <v>20</v>
      </c>
      <c r="D1224" t="s">
        <v>624</v>
      </c>
      <c r="E1224" t="s">
        <v>626</v>
      </c>
      <c r="F1224" t="s">
        <v>23</v>
      </c>
      <c r="G1224" s="91">
        <v>12577.83</v>
      </c>
      <c r="H1224" s="91"/>
      <c r="I1224" s="91">
        <v>0.900000238514911</v>
      </c>
      <c r="J1224" s="91">
        <v>11320.05</v>
      </c>
    </row>
    <row r="1225" spans="1:10">
      <c r="A1225" t="s">
        <v>924</v>
      </c>
      <c r="B1225" t="s">
        <v>925</v>
      </c>
      <c r="C1225" t="s">
        <v>20</v>
      </c>
      <c r="D1225" t="s">
        <v>624</v>
      </c>
      <c r="E1225" t="s">
        <v>627</v>
      </c>
      <c r="F1225" t="s">
        <v>23</v>
      </c>
      <c r="G1225" s="91">
        <v>12577.83</v>
      </c>
      <c r="H1225" s="91"/>
      <c r="I1225" s="91">
        <v>3.09999976148509</v>
      </c>
      <c r="J1225" s="91">
        <v>38991.27</v>
      </c>
    </row>
    <row r="1226" spans="1:10">
      <c r="A1226" t="s">
        <v>924</v>
      </c>
      <c r="B1226" t="s">
        <v>925</v>
      </c>
      <c r="C1226" t="s">
        <v>20</v>
      </c>
      <c r="D1226" t="s">
        <v>624</v>
      </c>
      <c r="E1226" t="s">
        <v>628</v>
      </c>
      <c r="F1226" t="s">
        <v>23</v>
      </c>
      <c r="G1226" s="91">
        <v>15722.288</v>
      </c>
      <c r="H1226" s="91"/>
      <c r="I1226" s="91">
        <v>3.09999982190887</v>
      </c>
      <c r="J1226" s="91">
        <v>48739.09</v>
      </c>
    </row>
    <row r="1227" spans="1:10">
      <c r="A1227" t="s">
        <v>924</v>
      </c>
      <c r="B1227" t="s">
        <v>925</v>
      </c>
      <c r="C1227" t="s">
        <v>20</v>
      </c>
      <c r="D1227" t="s">
        <v>624</v>
      </c>
      <c r="E1227" t="s">
        <v>629</v>
      </c>
      <c r="F1227" t="s">
        <v>23</v>
      </c>
      <c r="G1227" s="91">
        <v>6288.915</v>
      </c>
      <c r="H1227" s="91"/>
      <c r="I1227" s="91">
        <v>6.50000039752485</v>
      </c>
      <c r="J1227" s="91">
        <v>40877.95</v>
      </c>
    </row>
    <row r="1228" spans="1:10">
      <c r="A1228" t="s">
        <v>924</v>
      </c>
      <c r="B1228" t="s">
        <v>925</v>
      </c>
      <c r="C1228" t="s">
        <v>11</v>
      </c>
      <c r="D1228" t="s">
        <v>630</v>
      </c>
      <c r="E1228" t="s">
        <v>631</v>
      </c>
      <c r="F1228" t="s">
        <v>17</v>
      </c>
      <c r="G1228" s="91">
        <v>419.261</v>
      </c>
      <c r="H1228" s="91"/>
      <c r="I1228" s="91">
        <v>9380</v>
      </c>
      <c r="J1228" s="91">
        <v>3932668.18</v>
      </c>
    </row>
    <row r="1229" spans="1:10">
      <c r="A1229" t="s">
        <v>926</v>
      </c>
      <c r="B1229" t="s">
        <v>927</v>
      </c>
      <c r="C1229" t="s">
        <v>11</v>
      </c>
      <c r="D1229" t="s">
        <v>634</v>
      </c>
      <c r="E1229" t="s">
        <v>635</v>
      </c>
      <c r="F1229" t="s">
        <v>23</v>
      </c>
      <c r="G1229" s="91">
        <v>1234.666</v>
      </c>
      <c r="H1229" s="91"/>
      <c r="I1229" s="91">
        <v>16.0000032397426</v>
      </c>
      <c r="J1229" s="91">
        <v>19754.66</v>
      </c>
    </row>
    <row r="1230" spans="1:10">
      <c r="A1230" t="s">
        <v>926</v>
      </c>
      <c r="B1230" t="s">
        <v>927</v>
      </c>
      <c r="C1230" t="s">
        <v>20</v>
      </c>
      <c r="D1230" t="s">
        <v>636</v>
      </c>
      <c r="E1230" t="s">
        <v>637</v>
      </c>
      <c r="F1230" t="s">
        <v>23</v>
      </c>
      <c r="G1230" s="91">
        <v>617.333</v>
      </c>
      <c r="H1230" s="91"/>
      <c r="I1230" s="91">
        <v>40</v>
      </c>
      <c r="J1230" s="91">
        <v>24693.32</v>
      </c>
    </row>
    <row r="1231" spans="1:10">
      <c r="A1231" t="s">
        <v>928</v>
      </c>
      <c r="B1231" t="s">
        <v>929</v>
      </c>
      <c r="C1231" t="s">
        <v>11</v>
      </c>
      <c r="D1231" t="s">
        <v>634</v>
      </c>
      <c r="E1231" t="s">
        <v>640</v>
      </c>
      <c r="F1231" t="s">
        <v>23</v>
      </c>
      <c r="G1231" s="91">
        <v>617.332</v>
      </c>
      <c r="H1231" s="91"/>
      <c r="I1231" s="91">
        <v>16.9999935205044</v>
      </c>
      <c r="J1231" s="91">
        <v>10494.64</v>
      </c>
    </row>
    <row r="1232" spans="1:10">
      <c r="A1232" t="s">
        <v>928</v>
      </c>
      <c r="B1232" t="s">
        <v>929</v>
      </c>
      <c r="C1232" t="s">
        <v>20</v>
      </c>
      <c r="D1232" t="s">
        <v>636</v>
      </c>
      <c r="E1232" t="s">
        <v>641</v>
      </c>
      <c r="F1232" t="s">
        <v>23</v>
      </c>
      <c r="G1232" s="91">
        <v>308.666</v>
      </c>
      <c r="H1232" s="91"/>
      <c r="I1232" s="91">
        <v>58.9999870410087</v>
      </c>
      <c r="J1232" s="91">
        <v>18211.29</v>
      </c>
    </row>
    <row r="1233" spans="1:10">
      <c r="A1233" t="s">
        <v>930</v>
      </c>
      <c r="B1233" t="s">
        <v>931</v>
      </c>
      <c r="C1233" t="s">
        <v>11</v>
      </c>
      <c r="D1233" t="s">
        <v>634</v>
      </c>
      <c r="E1233" t="s">
        <v>650</v>
      </c>
      <c r="F1233" t="s">
        <v>23</v>
      </c>
      <c r="G1233" s="91">
        <v>247.11</v>
      </c>
      <c r="H1233" s="91"/>
      <c r="I1233" s="91">
        <v>18</v>
      </c>
      <c r="J1233" s="91">
        <v>4447.98</v>
      </c>
    </row>
    <row r="1234" spans="1:10">
      <c r="A1234" t="s">
        <v>930</v>
      </c>
      <c r="B1234" t="s">
        <v>931</v>
      </c>
      <c r="C1234" t="s">
        <v>20</v>
      </c>
      <c r="D1234" t="s">
        <v>636</v>
      </c>
      <c r="E1234" t="s">
        <v>644</v>
      </c>
      <c r="F1234" t="s">
        <v>23</v>
      </c>
      <c r="G1234" s="91">
        <v>123.555</v>
      </c>
      <c r="H1234" s="91"/>
      <c r="I1234" s="91">
        <v>103.000040467808</v>
      </c>
      <c r="J1234" s="91">
        <v>12726.17</v>
      </c>
    </row>
    <row r="1235" spans="1:10">
      <c r="A1235" t="s">
        <v>932</v>
      </c>
      <c r="B1235" t="s">
        <v>933</v>
      </c>
      <c r="C1235" t="s">
        <v>11</v>
      </c>
      <c r="D1235" t="s">
        <v>634</v>
      </c>
      <c r="E1235" t="s">
        <v>635</v>
      </c>
      <c r="F1235" t="s">
        <v>23</v>
      </c>
      <c r="G1235" s="91">
        <v>123.554</v>
      </c>
      <c r="H1235" s="91"/>
      <c r="I1235" s="91">
        <v>15.9999676254917</v>
      </c>
      <c r="J1235" s="91">
        <v>1976.86</v>
      </c>
    </row>
    <row r="1236" spans="1:10">
      <c r="A1236" t="s">
        <v>932</v>
      </c>
      <c r="B1236" t="s">
        <v>933</v>
      </c>
      <c r="C1236" t="s">
        <v>11</v>
      </c>
      <c r="D1236" t="s">
        <v>634</v>
      </c>
      <c r="E1236" t="s">
        <v>640</v>
      </c>
      <c r="F1236" t="s">
        <v>23</v>
      </c>
      <c r="G1236" s="91">
        <v>123.554</v>
      </c>
      <c r="H1236" s="91"/>
      <c r="I1236" s="91">
        <v>17.0000161872542</v>
      </c>
      <c r="J1236" s="91">
        <v>2100.42</v>
      </c>
    </row>
    <row r="1237" spans="1:10">
      <c r="A1237" t="s">
        <v>932</v>
      </c>
      <c r="B1237" t="s">
        <v>933</v>
      </c>
      <c r="C1237" t="s">
        <v>20</v>
      </c>
      <c r="D1237" t="s">
        <v>636</v>
      </c>
      <c r="E1237" t="s">
        <v>647</v>
      </c>
      <c r="F1237" t="s">
        <v>23</v>
      </c>
      <c r="G1237" s="91">
        <v>61.777</v>
      </c>
      <c r="H1237" s="91"/>
      <c r="I1237" s="91">
        <v>62.9999838127458</v>
      </c>
      <c r="J1237" s="91">
        <v>3891.95</v>
      </c>
    </row>
    <row r="1238" spans="1:10">
      <c r="A1238" t="s">
        <v>934</v>
      </c>
      <c r="B1238" t="s">
        <v>935</v>
      </c>
      <c r="C1238" t="s">
        <v>11</v>
      </c>
      <c r="D1238" t="s">
        <v>634</v>
      </c>
      <c r="E1238" t="s">
        <v>640</v>
      </c>
      <c r="F1238" t="s">
        <v>23</v>
      </c>
      <c r="G1238" s="91">
        <v>123.554</v>
      </c>
      <c r="H1238" s="91"/>
      <c r="I1238" s="91">
        <v>17.0000161872542</v>
      </c>
      <c r="J1238" s="91">
        <v>2100.42</v>
      </c>
    </row>
    <row r="1239" spans="1:10">
      <c r="A1239" t="s">
        <v>934</v>
      </c>
      <c r="B1239" t="s">
        <v>935</v>
      </c>
      <c r="C1239" t="s">
        <v>11</v>
      </c>
      <c r="D1239" t="s">
        <v>634</v>
      </c>
      <c r="E1239" t="s">
        <v>650</v>
      </c>
      <c r="F1239" t="s">
        <v>23</v>
      </c>
      <c r="G1239" s="91">
        <v>123.554</v>
      </c>
      <c r="H1239" s="91"/>
      <c r="I1239" s="91">
        <v>17.9999838127458</v>
      </c>
      <c r="J1239" s="91">
        <v>2223.97</v>
      </c>
    </row>
    <row r="1240" spans="1:10">
      <c r="A1240" t="s">
        <v>934</v>
      </c>
      <c r="B1240" t="s">
        <v>935</v>
      </c>
      <c r="C1240" t="s">
        <v>20</v>
      </c>
      <c r="D1240" t="s">
        <v>636</v>
      </c>
      <c r="E1240" t="s">
        <v>651</v>
      </c>
      <c r="F1240" t="s">
        <v>23</v>
      </c>
      <c r="G1240" s="91">
        <v>61.777</v>
      </c>
      <c r="H1240" s="91"/>
      <c r="I1240" s="91">
        <v>108.000064749017</v>
      </c>
      <c r="J1240" s="91">
        <v>6671.92</v>
      </c>
    </row>
    <row r="1241" spans="1:10">
      <c r="A1241" t="s">
        <v>936</v>
      </c>
      <c r="B1241" t="s">
        <v>937</v>
      </c>
      <c r="C1241" t="s">
        <v>11</v>
      </c>
      <c r="D1241" t="s">
        <v>634</v>
      </c>
      <c r="E1241" t="s">
        <v>635</v>
      </c>
      <c r="F1241" t="s">
        <v>23</v>
      </c>
      <c r="G1241" s="91">
        <v>123.554</v>
      </c>
      <c r="H1241" s="91"/>
      <c r="I1241" s="91">
        <v>15.9999676254917</v>
      </c>
      <c r="J1241" s="91">
        <v>1976.86</v>
      </c>
    </row>
    <row r="1242" spans="1:10">
      <c r="A1242" t="s">
        <v>936</v>
      </c>
      <c r="B1242" t="s">
        <v>937</v>
      </c>
      <c r="C1242" t="s">
        <v>11</v>
      </c>
      <c r="D1242" t="s">
        <v>634</v>
      </c>
      <c r="E1242" t="s">
        <v>650</v>
      </c>
      <c r="F1242" t="s">
        <v>23</v>
      </c>
      <c r="G1242" s="91">
        <v>123.554</v>
      </c>
      <c r="H1242" s="91"/>
      <c r="I1242" s="91">
        <v>17.9999838127458</v>
      </c>
      <c r="J1242" s="91">
        <v>2223.97</v>
      </c>
    </row>
    <row r="1243" spans="1:10">
      <c r="A1243" t="s">
        <v>936</v>
      </c>
      <c r="B1243" t="s">
        <v>937</v>
      </c>
      <c r="C1243" t="s">
        <v>20</v>
      </c>
      <c r="D1243" t="s">
        <v>636</v>
      </c>
      <c r="E1243" t="s">
        <v>654</v>
      </c>
      <c r="F1243" t="s">
        <v>23</v>
      </c>
      <c r="G1243" s="91">
        <v>61.777</v>
      </c>
      <c r="H1243" s="91"/>
      <c r="I1243" s="91">
        <v>108.999951438238</v>
      </c>
      <c r="J1243" s="91">
        <v>6733.69</v>
      </c>
    </row>
    <row r="1244" spans="1:10">
      <c r="A1244" t="s">
        <v>938</v>
      </c>
      <c r="B1244" t="s">
        <v>939</v>
      </c>
      <c r="C1244" t="s">
        <v>11</v>
      </c>
      <c r="D1244" t="s">
        <v>657</v>
      </c>
      <c r="E1244" t="s">
        <v>658</v>
      </c>
      <c r="F1244" t="s">
        <v>34</v>
      </c>
      <c r="G1244" s="91">
        <v>666.454</v>
      </c>
      <c r="H1244" s="91"/>
      <c r="I1244" s="91">
        <v>45</v>
      </c>
      <c r="J1244" s="91">
        <v>29990.43</v>
      </c>
    </row>
    <row r="1245" spans="1:10">
      <c r="A1245" t="s">
        <v>940</v>
      </c>
      <c r="B1245" t="s">
        <v>941</v>
      </c>
      <c r="C1245" t="s">
        <v>11</v>
      </c>
      <c r="D1245" t="s">
        <v>12</v>
      </c>
      <c r="E1245" t="s">
        <v>13</v>
      </c>
      <c r="F1245" t="s">
        <v>14</v>
      </c>
      <c r="G1245" s="91">
        <v>1.555</v>
      </c>
      <c r="H1245" s="91"/>
      <c r="I1245" s="91">
        <v>450</v>
      </c>
      <c r="J1245" s="91">
        <v>699.75</v>
      </c>
    </row>
    <row r="1246" spans="1:10">
      <c r="A1246" t="s">
        <v>940</v>
      </c>
      <c r="B1246" t="s">
        <v>941</v>
      </c>
      <c r="C1246" t="s">
        <v>11</v>
      </c>
      <c r="D1246" t="s">
        <v>12</v>
      </c>
      <c r="E1246" t="s">
        <v>15</v>
      </c>
      <c r="F1246" t="s">
        <v>14</v>
      </c>
      <c r="G1246" s="91">
        <v>0.243</v>
      </c>
      <c r="H1246" s="91"/>
      <c r="I1246" s="91">
        <v>600</v>
      </c>
      <c r="J1246" s="91">
        <v>145.8</v>
      </c>
    </row>
    <row r="1247" spans="1:10">
      <c r="A1247" t="s">
        <v>940</v>
      </c>
      <c r="B1247" t="s">
        <v>941</v>
      </c>
      <c r="C1247" t="s">
        <v>11</v>
      </c>
      <c r="D1247" t="s">
        <v>12</v>
      </c>
      <c r="E1247" t="s">
        <v>28</v>
      </c>
      <c r="F1247" t="s">
        <v>14</v>
      </c>
      <c r="G1247" s="91">
        <v>0.073</v>
      </c>
      <c r="H1247" s="91"/>
      <c r="I1247" s="91">
        <v>600</v>
      </c>
      <c r="J1247" s="91">
        <v>43.8</v>
      </c>
    </row>
    <row r="1248" spans="1:10">
      <c r="A1248" t="s">
        <v>940</v>
      </c>
      <c r="B1248" t="s">
        <v>941</v>
      </c>
      <c r="C1248" t="s">
        <v>20</v>
      </c>
      <c r="D1248" t="s">
        <v>106</v>
      </c>
      <c r="E1248" t="s">
        <v>107</v>
      </c>
      <c r="F1248" t="s">
        <v>108</v>
      </c>
      <c r="G1248" s="91">
        <v>2.973</v>
      </c>
      <c r="H1248" s="91"/>
      <c r="I1248" s="91">
        <v>3362.00134544231</v>
      </c>
      <c r="J1248" s="91">
        <v>9995.23</v>
      </c>
    </row>
    <row r="1249" spans="1:10">
      <c r="A1249" t="s">
        <v>940</v>
      </c>
      <c r="B1249" t="s">
        <v>941</v>
      </c>
      <c r="C1249" t="s">
        <v>20</v>
      </c>
      <c r="D1249" t="s">
        <v>596</v>
      </c>
      <c r="E1249" t="s">
        <v>597</v>
      </c>
      <c r="F1249" t="s">
        <v>46</v>
      </c>
      <c r="G1249" s="91">
        <v>0.685</v>
      </c>
      <c r="H1249" s="91"/>
      <c r="I1249" s="91">
        <v>2200</v>
      </c>
      <c r="J1249" s="91">
        <v>1507</v>
      </c>
    </row>
    <row r="1250" spans="1:10">
      <c r="A1250" t="s">
        <v>942</v>
      </c>
      <c r="B1250" t="s">
        <v>943</v>
      </c>
      <c r="C1250" t="s">
        <v>11</v>
      </c>
      <c r="D1250" t="s">
        <v>12</v>
      </c>
      <c r="E1250" t="s">
        <v>13</v>
      </c>
      <c r="F1250" t="s">
        <v>14</v>
      </c>
      <c r="G1250" s="91">
        <v>48</v>
      </c>
      <c r="H1250" s="91"/>
      <c r="I1250" s="91">
        <v>450</v>
      </c>
      <c r="J1250" s="91">
        <v>21600</v>
      </c>
    </row>
    <row r="1251" spans="1:10">
      <c r="A1251" t="s">
        <v>942</v>
      </c>
      <c r="B1251" t="s">
        <v>943</v>
      </c>
      <c r="C1251" t="s">
        <v>11</v>
      </c>
      <c r="D1251" t="s">
        <v>12</v>
      </c>
      <c r="E1251" t="s">
        <v>15</v>
      </c>
      <c r="F1251" t="s">
        <v>14</v>
      </c>
      <c r="G1251" s="91">
        <v>7.5</v>
      </c>
      <c r="H1251" s="91"/>
      <c r="I1251" s="91">
        <v>600</v>
      </c>
      <c r="J1251" s="91">
        <v>4500</v>
      </c>
    </row>
    <row r="1252" spans="1:10">
      <c r="A1252" t="s">
        <v>942</v>
      </c>
      <c r="B1252" t="s">
        <v>943</v>
      </c>
      <c r="C1252" t="s">
        <v>11</v>
      </c>
      <c r="D1252" t="s">
        <v>12</v>
      </c>
      <c r="E1252" t="s">
        <v>28</v>
      </c>
      <c r="F1252" t="s">
        <v>14</v>
      </c>
      <c r="G1252" s="91">
        <v>2.25</v>
      </c>
      <c r="H1252" s="91"/>
      <c r="I1252" s="91">
        <v>600</v>
      </c>
      <c r="J1252" s="91">
        <v>1350</v>
      </c>
    </row>
    <row r="1253" spans="1:10">
      <c r="A1253" t="s">
        <v>942</v>
      </c>
      <c r="B1253" t="s">
        <v>943</v>
      </c>
      <c r="C1253" t="s">
        <v>20</v>
      </c>
      <c r="D1253" t="s">
        <v>106</v>
      </c>
      <c r="E1253" t="s">
        <v>107</v>
      </c>
      <c r="F1253" t="s">
        <v>108</v>
      </c>
      <c r="G1253" s="91">
        <v>153</v>
      </c>
      <c r="H1253" s="91"/>
      <c r="I1253" s="91">
        <v>3362</v>
      </c>
      <c r="J1253" s="91">
        <v>514386</v>
      </c>
    </row>
    <row r="1254" spans="1:10">
      <c r="A1254" t="s">
        <v>944</v>
      </c>
      <c r="B1254" t="s">
        <v>945</v>
      </c>
      <c r="C1254" t="s">
        <v>11</v>
      </c>
      <c r="D1254" t="s">
        <v>665</v>
      </c>
      <c r="E1254" t="s">
        <v>666</v>
      </c>
      <c r="F1254" t="s">
        <v>34</v>
      </c>
      <c r="G1254" s="91">
        <v>13138.537</v>
      </c>
      <c r="H1254" s="91"/>
      <c r="I1254" s="91">
        <v>33.3100001925633</v>
      </c>
      <c r="J1254" s="91">
        <v>437644.67</v>
      </c>
    </row>
    <row r="1255" spans="1:10">
      <c r="A1255" t="s">
        <v>944</v>
      </c>
      <c r="B1255" t="s">
        <v>945</v>
      </c>
      <c r="C1255" t="s">
        <v>11</v>
      </c>
      <c r="D1255" t="s">
        <v>12</v>
      </c>
      <c r="E1255" t="s">
        <v>13</v>
      </c>
      <c r="F1255" t="s">
        <v>14</v>
      </c>
      <c r="G1255" s="91">
        <v>667.354</v>
      </c>
      <c r="H1255" s="91"/>
      <c r="I1255" s="91">
        <v>450</v>
      </c>
      <c r="J1255" s="91">
        <v>300309.3</v>
      </c>
    </row>
    <row r="1256" spans="1:10">
      <c r="A1256" t="s">
        <v>944</v>
      </c>
      <c r="B1256" t="s">
        <v>945</v>
      </c>
      <c r="C1256" t="s">
        <v>11</v>
      </c>
      <c r="D1256" t="s">
        <v>12</v>
      </c>
      <c r="E1256" t="s">
        <v>15</v>
      </c>
      <c r="F1256" t="s">
        <v>14</v>
      </c>
      <c r="G1256" s="91">
        <v>104.274</v>
      </c>
      <c r="H1256" s="91"/>
      <c r="I1256" s="91">
        <v>600</v>
      </c>
      <c r="J1256" s="91">
        <v>62564.4</v>
      </c>
    </row>
    <row r="1257" spans="1:10">
      <c r="A1257" t="s">
        <v>944</v>
      </c>
      <c r="B1257" t="s">
        <v>945</v>
      </c>
      <c r="C1257" t="s">
        <v>11</v>
      </c>
      <c r="D1257" t="s">
        <v>12</v>
      </c>
      <c r="E1257" t="s">
        <v>28</v>
      </c>
      <c r="F1257" t="s">
        <v>14</v>
      </c>
      <c r="G1257" s="91">
        <v>31.282</v>
      </c>
      <c r="H1257" s="91"/>
      <c r="I1257" s="91">
        <v>600</v>
      </c>
      <c r="J1257" s="91">
        <v>18769.2</v>
      </c>
    </row>
    <row r="1258" spans="1:10">
      <c r="A1258" t="s">
        <v>944</v>
      </c>
      <c r="B1258" t="s">
        <v>945</v>
      </c>
      <c r="C1258" t="s">
        <v>20</v>
      </c>
      <c r="D1258" t="s">
        <v>59</v>
      </c>
      <c r="E1258" t="s">
        <v>667</v>
      </c>
      <c r="F1258" t="s">
        <v>49</v>
      </c>
      <c r="G1258" s="91">
        <v>1981.208</v>
      </c>
      <c r="H1258" s="91"/>
      <c r="I1258" s="91">
        <v>42.0000020189702</v>
      </c>
      <c r="J1258" s="91">
        <v>83210.74</v>
      </c>
    </row>
    <row r="1259" spans="1:10">
      <c r="A1259" t="s">
        <v>944</v>
      </c>
      <c r="B1259" t="s">
        <v>945</v>
      </c>
      <c r="C1259" t="s">
        <v>20</v>
      </c>
      <c r="D1259" t="s">
        <v>59</v>
      </c>
      <c r="E1259" t="s">
        <v>668</v>
      </c>
      <c r="F1259" t="s">
        <v>49</v>
      </c>
      <c r="G1259" s="91">
        <v>2669.417</v>
      </c>
      <c r="H1259" s="91"/>
      <c r="I1259" s="91">
        <v>15.0000018730682</v>
      </c>
      <c r="J1259" s="91">
        <v>40041.26</v>
      </c>
    </row>
    <row r="1260" spans="1:10">
      <c r="A1260" t="s">
        <v>944</v>
      </c>
      <c r="B1260" t="s">
        <v>945</v>
      </c>
      <c r="C1260" t="s">
        <v>20</v>
      </c>
      <c r="D1260" t="s">
        <v>59</v>
      </c>
      <c r="E1260" t="s">
        <v>60</v>
      </c>
      <c r="F1260" t="s">
        <v>49</v>
      </c>
      <c r="G1260" s="91">
        <v>1172.041</v>
      </c>
      <c r="H1260" s="91"/>
      <c r="I1260" s="91">
        <v>17.0000025596374</v>
      </c>
      <c r="J1260" s="91">
        <v>19924.7</v>
      </c>
    </row>
    <row r="1261" spans="1:10">
      <c r="A1261" t="s">
        <v>944</v>
      </c>
      <c r="B1261" t="s">
        <v>945</v>
      </c>
      <c r="C1261" t="s">
        <v>20</v>
      </c>
      <c r="D1261" t="s">
        <v>106</v>
      </c>
      <c r="E1261" t="s">
        <v>838</v>
      </c>
      <c r="F1261" t="s">
        <v>108</v>
      </c>
      <c r="G1261" s="91">
        <v>2127.192</v>
      </c>
      <c r="H1261" s="91"/>
      <c r="I1261" s="91">
        <v>5700</v>
      </c>
      <c r="J1261" s="91">
        <v>12124994.4</v>
      </c>
    </row>
    <row r="1262" spans="1:10">
      <c r="A1262" t="s">
        <v>946</v>
      </c>
      <c r="B1262" t="s">
        <v>947</v>
      </c>
      <c r="C1262" t="s">
        <v>11</v>
      </c>
      <c r="D1262" t="s">
        <v>12</v>
      </c>
      <c r="E1262" t="s">
        <v>13</v>
      </c>
      <c r="F1262" t="s">
        <v>14</v>
      </c>
      <c r="G1262" s="91">
        <v>286.815</v>
      </c>
      <c r="H1262" s="91"/>
      <c r="I1262" s="91">
        <v>450</v>
      </c>
      <c r="J1262" s="91">
        <v>129066.75</v>
      </c>
    </row>
    <row r="1263" spans="1:10">
      <c r="A1263" t="s">
        <v>946</v>
      </c>
      <c r="B1263" t="s">
        <v>947</v>
      </c>
      <c r="C1263" t="s">
        <v>11</v>
      </c>
      <c r="D1263" t="s">
        <v>12</v>
      </c>
      <c r="E1263" t="s">
        <v>15</v>
      </c>
      <c r="F1263" t="s">
        <v>14</v>
      </c>
      <c r="G1263" s="91">
        <v>44.815</v>
      </c>
      <c r="H1263" s="91"/>
      <c r="I1263" s="91">
        <v>600</v>
      </c>
      <c r="J1263" s="91">
        <v>26889</v>
      </c>
    </row>
    <row r="1264" spans="1:10">
      <c r="A1264" t="s">
        <v>946</v>
      </c>
      <c r="B1264" t="s">
        <v>947</v>
      </c>
      <c r="C1264" t="s">
        <v>11</v>
      </c>
      <c r="D1264" t="s">
        <v>12</v>
      </c>
      <c r="E1264" t="s">
        <v>28</v>
      </c>
      <c r="F1264" t="s">
        <v>14</v>
      </c>
      <c r="G1264" s="91">
        <v>13.444</v>
      </c>
      <c r="H1264" s="91"/>
      <c r="I1264" s="91">
        <v>600</v>
      </c>
      <c r="J1264" s="91">
        <v>8066.4</v>
      </c>
    </row>
    <row r="1265" spans="1:10">
      <c r="A1265" t="s">
        <v>946</v>
      </c>
      <c r="B1265" t="s">
        <v>947</v>
      </c>
      <c r="C1265" t="s">
        <v>20</v>
      </c>
      <c r="D1265" t="s">
        <v>59</v>
      </c>
      <c r="E1265" t="s">
        <v>667</v>
      </c>
      <c r="F1265" t="s">
        <v>49</v>
      </c>
      <c r="G1265" s="91">
        <v>851.483</v>
      </c>
      <c r="H1265" s="91"/>
      <c r="I1265" s="91">
        <v>42.0000046976863</v>
      </c>
      <c r="J1265" s="91">
        <v>35762.29</v>
      </c>
    </row>
    <row r="1266" spans="1:10">
      <c r="A1266" t="s">
        <v>946</v>
      </c>
      <c r="B1266" t="s">
        <v>947</v>
      </c>
      <c r="C1266" t="s">
        <v>20</v>
      </c>
      <c r="D1266" t="s">
        <v>59</v>
      </c>
      <c r="E1266" t="s">
        <v>668</v>
      </c>
      <c r="F1266" t="s">
        <v>49</v>
      </c>
      <c r="G1266" s="91">
        <v>1147.261</v>
      </c>
      <c r="H1266" s="91"/>
      <c r="I1266" s="91">
        <v>15.0000043582062</v>
      </c>
      <c r="J1266" s="91">
        <v>17208.92</v>
      </c>
    </row>
    <row r="1267" spans="1:10">
      <c r="A1267" t="s">
        <v>946</v>
      </c>
      <c r="B1267" t="s">
        <v>947</v>
      </c>
      <c r="C1267" t="s">
        <v>20</v>
      </c>
      <c r="D1267" t="s">
        <v>59</v>
      </c>
      <c r="E1267" t="s">
        <v>60</v>
      </c>
      <c r="F1267" t="s">
        <v>49</v>
      </c>
      <c r="G1267" s="91">
        <v>503.719</v>
      </c>
      <c r="H1267" s="91"/>
      <c r="I1267" s="91">
        <v>16.9999940442985</v>
      </c>
      <c r="J1267" s="91">
        <v>8563.22</v>
      </c>
    </row>
    <row r="1268" spans="1:10">
      <c r="A1268" t="s">
        <v>946</v>
      </c>
      <c r="B1268" t="s">
        <v>947</v>
      </c>
      <c r="C1268" t="s">
        <v>20</v>
      </c>
      <c r="D1268" t="s">
        <v>106</v>
      </c>
      <c r="E1268" t="s">
        <v>873</v>
      </c>
      <c r="F1268" t="s">
        <v>108</v>
      </c>
      <c r="G1268" s="91">
        <v>914.224</v>
      </c>
      <c r="H1268" s="91"/>
      <c r="I1268" s="91">
        <v>6000</v>
      </c>
      <c r="J1268" s="91">
        <v>5485344</v>
      </c>
    </row>
    <row r="1269" spans="1:10">
      <c r="A1269" t="s">
        <v>948</v>
      </c>
      <c r="B1269" t="s">
        <v>949</v>
      </c>
      <c r="C1269" t="s">
        <v>11</v>
      </c>
      <c r="D1269" t="s">
        <v>618</v>
      </c>
      <c r="E1269" t="s">
        <v>619</v>
      </c>
      <c r="F1269" t="s">
        <v>23</v>
      </c>
      <c r="G1269" s="91">
        <v>42</v>
      </c>
      <c r="H1269" s="91"/>
      <c r="I1269" s="91">
        <v>4750</v>
      </c>
      <c r="J1269" s="91">
        <v>199500</v>
      </c>
    </row>
    <row r="1270" spans="1:10">
      <c r="A1270" t="s">
        <v>948</v>
      </c>
      <c r="B1270" t="s">
        <v>949</v>
      </c>
      <c r="C1270" t="s">
        <v>11</v>
      </c>
      <c r="D1270" t="s">
        <v>618</v>
      </c>
      <c r="E1270" t="s">
        <v>620</v>
      </c>
      <c r="F1270" t="s">
        <v>23</v>
      </c>
      <c r="G1270" s="91">
        <v>6</v>
      </c>
      <c r="H1270" s="91"/>
      <c r="I1270" s="91">
        <v>2375</v>
      </c>
      <c r="J1270" s="91">
        <v>14250</v>
      </c>
    </row>
    <row r="1271" spans="1:10">
      <c r="A1271" t="s">
        <v>948</v>
      </c>
      <c r="B1271" t="s">
        <v>949</v>
      </c>
      <c r="C1271" t="s">
        <v>11</v>
      </c>
      <c r="D1271" t="s">
        <v>618</v>
      </c>
      <c r="E1271" t="s">
        <v>621</v>
      </c>
      <c r="F1271" t="s">
        <v>23</v>
      </c>
      <c r="G1271" s="91">
        <v>1.002</v>
      </c>
      <c r="H1271" s="91"/>
      <c r="I1271" s="91">
        <v>3000</v>
      </c>
      <c r="J1271" s="91">
        <v>3006</v>
      </c>
    </row>
    <row r="1272" spans="1:10">
      <c r="A1272" t="s">
        <v>950</v>
      </c>
      <c r="B1272" t="s">
        <v>951</v>
      </c>
      <c r="C1272" t="s">
        <v>11</v>
      </c>
      <c r="D1272" t="s">
        <v>12</v>
      </c>
      <c r="E1272" t="s">
        <v>13</v>
      </c>
      <c r="F1272" t="s">
        <v>14</v>
      </c>
      <c r="G1272" s="91">
        <v>952.885</v>
      </c>
      <c r="H1272" s="91"/>
      <c r="I1272" s="91">
        <v>450</v>
      </c>
      <c r="J1272" s="91">
        <v>428798.25</v>
      </c>
    </row>
    <row r="1273" spans="1:10">
      <c r="A1273" t="s">
        <v>950</v>
      </c>
      <c r="B1273" t="s">
        <v>951</v>
      </c>
      <c r="C1273" t="s">
        <v>20</v>
      </c>
      <c r="D1273" t="s">
        <v>576</v>
      </c>
      <c r="E1273" t="s">
        <v>918</v>
      </c>
      <c r="F1273" t="s">
        <v>100</v>
      </c>
      <c r="G1273" s="91">
        <v>16280.722</v>
      </c>
      <c r="H1273" s="91"/>
      <c r="I1273" s="91">
        <v>48.0000002456893</v>
      </c>
      <c r="J1273" s="91">
        <v>781474.66</v>
      </c>
    </row>
    <row r="1274" spans="1:10">
      <c r="A1274" t="s">
        <v>950</v>
      </c>
      <c r="B1274" t="s">
        <v>951</v>
      </c>
      <c r="C1274" t="s">
        <v>20</v>
      </c>
      <c r="D1274" t="s">
        <v>104</v>
      </c>
      <c r="E1274" t="s">
        <v>919</v>
      </c>
      <c r="F1274" t="s">
        <v>49</v>
      </c>
      <c r="G1274" s="91">
        <v>204.19</v>
      </c>
      <c r="H1274" s="91"/>
      <c r="I1274" s="91">
        <v>70</v>
      </c>
      <c r="J1274" s="91">
        <v>14293.3</v>
      </c>
    </row>
    <row r="1275" spans="1:10">
      <c r="A1275" t="s">
        <v>950</v>
      </c>
      <c r="B1275" t="s">
        <v>951</v>
      </c>
      <c r="C1275" t="s">
        <v>20</v>
      </c>
      <c r="D1275" t="s">
        <v>112</v>
      </c>
      <c r="E1275" t="s">
        <v>113</v>
      </c>
      <c r="F1275" t="s">
        <v>46</v>
      </c>
      <c r="G1275" s="91">
        <v>58.232</v>
      </c>
      <c r="H1275" s="91"/>
      <c r="I1275" s="91">
        <v>3250</v>
      </c>
      <c r="J1275" s="91">
        <v>189254</v>
      </c>
    </row>
    <row r="1276" spans="1:10">
      <c r="A1276" t="s">
        <v>952</v>
      </c>
      <c r="B1276" t="s">
        <v>953</v>
      </c>
      <c r="C1276" t="s">
        <v>20</v>
      </c>
      <c r="D1276" t="s">
        <v>102</v>
      </c>
      <c r="E1276" t="s">
        <v>103</v>
      </c>
      <c r="F1276" t="s">
        <v>46</v>
      </c>
      <c r="G1276" s="91">
        <v>10.41</v>
      </c>
      <c r="H1276" s="91"/>
      <c r="I1276" s="91">
        <v>800</v>
      </c>
      <c r="J1276" s="91">
        <v>8328</v>
      </c>
    </row>
    <row r="1277" spans="1:10">
      <c r="A1277" t="s">
        <v>952</v>
      </c>
      <c r="B1277" t="s">
        <v>953</v>
      </c>
      <c r="C1277" t="s">
        <v>20</v>
      </c>
      <c r="D1277" t="s">
        <v>596</v>
      </c>
      <c r="E1277" t="s">
        <v>597</v>
      </c>
      <c r="F1277" t="s">
        <v>46</v>
      </c>
      <c r="G1277" s="91">
        <v>54.109</v>
      </c>
      <c r="H1277" s="91"/>
      <c r="I1277" s="91">
        <v>2200</v>
      </c>
      <c r="J1277" s="91">
        <v>119039.8</v>
      </c>
    </row>
    <row r="1278" spans="1:10">
      <c r="A1278" t="s">
        <v>952</v>
      </c>
      <c r="B1278" t="s">
        <v>953</v>
      </c>
      <c r="C1278" t="s">
        <v>11</v>
      </c>
      <c r="D1278" t="s">
        <v>598</v>
      </c>
      <c r="E1278" t="s">
        <v>599</v>
      </c>
      <c r="F1278" t="s">
        <v>34</v>
      </c>
      <c r="G1278" s="91">
        <v>579.412</v>
      </c>
      <c r="H1278" s="91"/>
      <c r="I1278" s="91">
        <v>86.1100046253788</v>
      </c>
      <c r="J1278" s="91">
        <v>49893.17</v>
      </c>
    </row>
    <row r="1279" spans="1:10">
      <c r="A1279" t="s">
        <v>952</v>
      </c>
      <c r="B1279" t="s">
        <v>953</v>
      </c>
      <c r="C1279" t="s">
        <v>20</v>
      </c>
      <c r="D1279" t="s">
        <v>600</v>
      </c>
      <c r="E1279" t="s">
        <v>601</v>
      </c>
      <c r="F1279" t="s">
        <v>63</v>
      </c>
      <c r="G1279" s="91">
        <v>2897.058</v>
      </c>
      <c r="H1279" s="91"/>
      <c r="I1279" s="91">
        <v>0.0799983983751792</v>
      </c>
      <c r="J1279" s="91">
        <v>231.76</v>
      </c>
    </row>
    <row r="1280" spans="1:10">
      <c r="A1280" t="s">
        <v>954</v>
      </c>
      <c r="B1280" t="s">
        <v>955</v>
      </c>
      <c r="C1280" t="s">
        <v>11</v>
      </c>
      <c r="D1280" t="s">
        <v>24</v>
      </c>
      <c r="E1280" t="s">
        <v>604</v>
      </c>
      <c r="F1280" t="s">
        <v>34</v>
      </c>
      <c r="G1280" s="91">
        <v>14515.889</v>
      </c>
      <c r="H1280" s="91"/>
      <c r="I1280" s="91">
        <v>50</v>
      </c>
      <c r="J1280" s="91">
        <v>725794.45</v>
      </c>
    </row>
    <row r="1281" spans="1:10">
      <c r="A1281" t="s">
        <v>954</v>
      </c>
      <c r="B1281" t="s">
        <v>955</v>
      </c>
      <c r="C1281" t="s">
        <v>11</v>
      </c>
      <c r="D1281" t="s">
        <v>24</v>
      </c>
      <c r="E1281" t="s">
        <v>605</v>
      </c>
      <c r="F1281" t="s">
        <v>34</v>
      </c>
      <c r="G1281" s="91">
        <v>2965.596</v>
      </c>
      <c r="H1281" s="91"/>
      <c r="I1281" s="91">
        <v>80</v>
      </c>
      <c r="J1281" s="91">
        <v>237247.68</v>
      </c>
    </row>
    <row r="1282" spans="1:10">
      <c r="A1282" t="s">
        <v>954</v>
      </c>
      <c r="B1282" t="s">
        <v>955</v>
      </c>
      <c r="C1282" t="s">
        <v>11</v>
      </c>
      <c r="D1282" t="s">
        <v>24</v>
      </c>
      <c r="E1282" t="s">
        <v>606</v>
      </c>
      <c r="F1282" t="s">
        <v>34</v>
      </c>
      <c r="G1282" s="91">
        <v>14515.889</v>
      </c>
      <c r="H1282" s="91"/>
      <c r="I1282" s="91">
        <v>272.00000013778</v>
      </c>
      <c r="J1282" s="91">
        <v>3948321.81</v>
      </c>
    </row>
    <row r="1283" spans="1:10">
      <c r="A1283" t="s">
        <v>954</v>
      </c>
      <c r="B1283" t="s">
        <v>955</v>
      </c>
      <c r="C1283" t="s">
        <v>20</v>
      </c>
      <c r="D1283" t="s">
        <v>47</v>
      </c>
      <c r="E1283" t="s">
        <v>48</v>
      </c>
      <c r="F1283" t="s">
        <v>49</v>
      </c>
      <c r="G1283" s="91">
        <v>1000</v>
      </c>
      <c r="H1283" s="91"/>
      <c r="I1283" s="91">
        <v>71</v>
      </c>
      <c r="J1283" s="91">
        <v>71000</v>
      </c>
    </row>
    <row r="1284" spans="1:10">
      <c r="A1284" t="s">
        <v>954</v>
      </c>
      <c r="B1284" t="s">
        <v>955</v>
      </c>
      <c r="C1284" t="s">
        <v>20</v>
      </c>
      <c r="D1284" t="s">
        <v>47</v>
      </c>
      <c r="E1284" t="s">
        <v>50</v>
      </c>
      <c r="F1284" t="s">
        <v>49</v>
      </c>
      <c r="G1284" s="91">
        <v>435.477</v>
      </c>
      <c r="H1284" s="91"/>
      <c r="I1284" s="91">
        <v>60</v>
      </c>
      <c r="J1284" s="91">
        <v>26128.62</v>
      </c>
    </row>
    <row r="1285" spans="1:10">
      <c r="A1285" t="s">
        <v>954</v>
      </c>
      <c r="B1285" t="s">
        <v>955</v>
      </c>
      <c r="C1285" t="s">
        <v>20</v>
      </c>
      <c r="D1285" t="s">
        <v>61</v>
      </c>
      <c r="E1285" t="s">
        <v>78</v>
      </c>
      <c r="F1285" t="s">
        <v>49</v>
      </c>
      <c r="G1285" s="91">
        <v>406.349</v>
      </c>
      <c r="H1285" s="91"/>
      <c r="I1285" s="91">
        <v>95.0000123046938</v>
      </c>
      <c r="J1285" s="91">
        <v>38603.16</v>
      </c>
    </row>
    <row r="1286" spans="1:10">
      <c r="A1286" t="s">
        <v>954</v>
      </c>
      <c r="B1286" t="s">
        <v>955</v>
      </c>
      <c r="C1286" t="s">
        <v>20</v>
      </c>
      <c r="D1286" t="s">
        <v>61</v>
      </c>
      <c r="E1286" t="s">
        <v>607</v>
      </c>
      <c r="F1286" t="s">
        <v>23</v>
      </c>
      <c r="G1286" s="91">
        <v>162.539</v>
      </c>
      <c r="H1286" s="91"/>
      <c r="I1286" s="91">
        <v>115.199982773365</v>
      </c>
      <c r="J1286" s="91">
        <v>18724.49</v>
      </c>
    </row>
    <row r="1287" spans="1:10">
      <c r="A1287" t="s">
        <v>954</v>
      </c>
      <c r="B1287" t="s">
        <v>955</v>
      </c>
      <c r="C1287" t="s">
        <v>20</v>
      </c>
      <c r="D1287" t="s">
        <v>84</v>
      </c>
      <c r="E1287" t="s">
        <v>86</v>
      </c>
      <c r="F1287" t="s">
        <v>49</v>
      </c>
      <c r="G1287" s="91">
        <v>290.318</v>
      </c>
      <c r="H1287" s="91"/>
      <c r="I1287" s="91">
        <v>60</v>
      </c>
      <c r="J1287" s="91">
        <v>17419.08</v>
      </c>
    </row>
    <row r="1288" spans="1:10">
      <c r="A1288" t="s">
        <v>954</v>
      </c>
      <c r="B1288" t="s">
        <v>955</v>
      </c>
      <c r="C1288" t="s">
        <v>20</v>
      </c>
      <c r="D1288" t="s">
        <v>84</v>
      </c>
      <c r="E1288" t="s">
        <v>87</v>
      </c>
      <c r="F1288" t="s">
        <v>49</v>
      </c>
      <c r="G1288" s="91">
        <v>580.636</v>
      </c>
      <c r="H1288" s="91"/>
      <c r="I1288" s="91">
        <v>60</v>
      </c>
      <c r="J1288" s="91">
        <v>34838.16</v>
      </c>
    </row>
    <row r="1289" spans="1:10">
      <c r="A1289" t="s">
        <v>954</v>
      </c>
      <c r="B1289" t="s">
        <v>955</v>
      </c>
      <c r="C1289" t="s">
        <v>20</v>
      </c>
      <c r="D1289" t="s">
        <v>84</v>
      </c>
      <c r="E1289" t="s">
        <v>608</v>
      </c>
      <c r="F1289" t="s">
        <v>100</v>
      </c>
      <c r="G1289" s="91">
        <v>19523.871</v>
      </c>
      <c r="H1289" s="91"/>
      <c r="I1289" s="91">
        <v>67.0000001536581</v>
      </c>
      <c r="J1289" s="91">
        <v>1308099.36</v>
      </c>
    </row>
    <row r="1290" spans="1:10">
      <c r="A1290" t="s">
        <v>954</v>
      </c>
      <c r="B1290" t="s">
        <v>955</v>
      </c>
      <c r="C1290" t="s">
        <v>20</v>
      </c>
      <c r="D1290" t="s">
        <v>84</v>
      </c>
      <c r="E1290" t="s">
        <v>609</v>
      </c>
      <c r="F1290" t="s">
        <v>63</v>
      </c>
      <c r="G1290" s="91">
        <v>580.636</v>
      </c>
      <c r="H1290" s="91"/>
      <c r="I1290" s="91">
        <v>135</v>
      </c>
      <c r="J1290" s="91">
        <v>78385.86</v>
      </c>
    </row>
    <row r="1291" spans="1:10">
      <c r="A1291" t="s">
        <v>954</v>
      </c>
      <c r="B1291" t="s">
        <v>955</v>
      </c>
      <c r="C1291" t="s">
        <v>20</v>
      </c>
      <c r="D1291" t="s">
        <v>84</v>
      </c>
      <c r="E1291" t="s">
        <v>956</v>
      </c>
      <c r="F1291" t="s">
        <v>611</v>
      </c>
      <c r="G1291" s="91">
        <v>1095</v>
      </c>
      <c r="H1291" s="91"/>
      <c r="I1291" s="91">
        <v>295</v>
      </c>
      <c r="J1291" s="91">
        <v>323025</v>
      </c>
    </row>
    <row r="1292" spans="1:10">
      <c r="A1292" t="s">
        <v>954</v>
      </c>
      <c r="B1292" t="s">
        <v>955</v>
      </c>
      <c r="C1292" t="s">
        <v>20</v>
      </c>
      <c r="D1292" t="s">
        <v>84</v>
      </c>
      <c r="E1292" t="s">
        <v>683</v>
      </c>
      <c r="F1292" t="s">
        <v>611</v>
      </c>
      <c r="G1292" s="91">
        <v>837</v>
      </c>
      <c r="H1292" s="91"/>
      <c r="I1292" s="91">
        <v>205</v>
      </c>
      <c r="J1292" s="91">
        <v>171585</v>
      </c>
    </row>
    <row r="1293" spans="1:10">
      <c r="A1293" t="s">
        <v>954</v>
      </c>
      <c r="B1293" t="s">
        <v>955</v>
      </c>
      <c r="C1293" t="s">
        <v>20</v>
      </c>
      <c r="D1293" t="s">
        <v>84</v>
      </c>
      <c r="E1293" t="s">
        <v>610</v>
      </c>
      <c r="F1293" t="s">
        <v>611</v>
      </c>
      <c r="G1293" s="91">
        <v>1095</v>
      </c>
      <c r="H1293" s="91"/>
      <c r="I1293" s="91">
        <v>395</v>
      </c>
      <c r="J1293" s="91">
        <v>432525</v>
      </c>
    </row>
    <row r="1294" spans="1:10">
      <c r="A1294" t="s">
        <v>954</v>
      </c>
      <c r="B1294" t="s">
        <v>955</v>
      </c>
      <c r="C1294" t="s">
        <v>20</v>
      </c>
      <c r="D1294" t="s">
        <v>84</v>
      </c>
      <c r="E1294" t="s">
        <v>612</v>
      </c>
      <c r="F1294" t="s">
        <v>611</v>
      </c>
      <c r="G1294" s="91">
        <v>508.056</v>
      </c>
      <c r="H1294" s="91"/>
      <c r="I1294" s="91">
        <v>295</v>
      </c>
      <c r="J1294" s="91">
        <v>149876.52</v>
      </c>
    </row>
    <row r="1295" spans="1:10">
      <c r="A1295" t="s">
        <v>954</v>
      </c>
      <c r="B1295" t="s">
        <v>955</v>
      </c>
      <c r="C1295" t="s">
        <v>20</v>
      </c>
      <c r="D1295" t="s">
        <v>84</v>
      </c>
      <c r="E1295" t="s">
        <v>684</v>
      </c>
      <c r="F1295" t="s">
        <v>23</v>
      </c>
      <c r="G1295" s="91">
        <v>5000</v>
      </c>
      <c r="H1295" s="91"/>
      <c r="I1295" s="91">
        <v>39</v>
      </c>
      <c r="J1295" s="91">
        <v>195000</v>
      </c>
    </row>
    <row r="1296" spans="1:10">
      <c r="A1296" t="s">
        <v>954</v>
      </c>
      <c r="B1296" t="s">
        <v>955</v>
      </c>
      <c r="C1296" t="s">
        <v>20</v>
      </c>
      <c r="D1296" t="s">
        <v>624</v>
      </c>
      <c r="E1296" t="s">
        <v>957</v>
      </c>
      <c r="F1296" t="s">
        <v>23</v>
      </c>
      <c r="G1296" s="91">
        <v>2000</v>
      </c>
      <c r="H1296" s="91"/>
      <c r="I1296" s="91">
        <v>2</v>
      </c>
      <c r="J1296" s="91">
        <v>4000</v>
      </c>
    </row>
    <row r="1297" spans="1:10">
      <c r="A1297" t="s">
        <v>954</v>
      </c>
      <c r="B1297" t="s">
        <v>955</v>
      </c>
      <c r="C1297" t="s">
        <v>20</v>
      </c>
      <c r="D1297" t="s">
        <v>624</v>
      </c>
      <c r="E1297" t="s">
        <v>958</v>
      </c>
      <c r="F1297" t="s">
        <v>23</v>
      </c>
      <c r="G1297" s="91">
        <v>2000</v>
      </c>
      <c r="H1297" s="91"/>
      <c r="I1297" s="91">
        <v>2</v>
      </c>
      <c r="J1297" s="91">
        <v>4000</v>
      </c>
    </row>
    <row r="1298" spans="1:10">
      <c r="A1298" t="s">
        <v>954</v>
      </c>
      <c r="B1298" t="s">
        <v>955</v>
      </c>
      <c r="C1298" t="s">
        <v>20</v>
      </c>
      <c r="D1298" t="s">
        <v>624</v>
      </c>
      <c r="E1298" t="s">
        <v>959</v>
      </c>
      <c r="F1298" t="s">
        <v>23</v>
      </c>
      <c r="G1298" s="91">
        <v>6000</v>
      </c>
      <c r="H1298" s="91"/>
      <c r="I1298" s="91">
        <v>3</v>
      </c>
      <c r="J1298" s="91">
        <v>18000</v>
      </c>
    </row>
    <row r="1299" spans="1:10">
      <c r="A1299" t="s">
        <v>954</v>
      </c>
      <c r="B1299" t="s">
        <v>955</v>
      </c>
      <c r="C1299" t="s">
        <v>20</v>
      </c>
      <c r="D1299" t="s">
        <v>624</v>
      </c>
      <c r="E1299" t="s">
        <v>629</v>
      </c>
      <c r="F1299" t="s">
        <v>23</v>
      </c>
      <c r="G1299" s="91">
        <v>6000</v>
      </c>
      <c r="H1299" s="91"/>
      <c r="I1299" s="91">
        <v>3</v>
      </c>
      <c r="J1299" s="91">
        <v>18000</v>
      </c>
    </row>
    <row r="1300" spans="1:10">
      <c r="A1300" t="s">
        <v>954</v>
      </c>
      <c r="B1300" t="s">
        <v>955</v>
      </c>
      <c r="C1300" t="s">
        <v>20</v>
      </c>
      <c r="D1300" t="s">
        <v>337</v>
      </c>
      <c r="E1300" t="s">
        <v>960</v>
      </c>
      <c r="F1300" t="s">
        <v>23</v>
      </c>
      <c r="G1300" s="91">
        <v>1000</v>
      </c>
      <c r="H1300" s="91"/>
      <c r="I1300" s="91">
        <v>1000</v>
      </c>
      <c r="J1300" s="91">
        <v>1000000</v>
      </c>
    </row>
    <row r="1301" spans="1:10">
      <c r="A1301" t="s">
        <v>954</v>
      </c>
      <c r="B1301" t="s">
        <v>955</v>
      </c>
      <c r="C1301" t="s">
        <v>20</v>
      </c>
      <c r="D1301" t="s">
        <v>337</v>
      </c>
      <c r="E1301" t="s">
        <v>961</v>
      </c>
      <c r="F1301" t="s">
        <v>23</v>
      </c>
      <c r="G1301" s="91">
        <v>1000</v>
      </c>
      <c r="H1301" s="91"/>
      <c r="I1301" s="91">
        <v>1000</v>
      </c>
      <c r="J1301" s="91">
        <v>1000000</v>
      </c>
    </row>
    <row r="1302" spans="1:10">
      <c r="A1302" t="s">
        <v>954</v>
      </c>
      <c r="B1302" t="s">
        <v>955</v>
      </c>
      <c r="C1302" t="s">
        <v>20</v>
      </c>
      <c r="D1302" t="s">
        <v>337</v>
      </c>
      <c r="E1302" t="s">
        <v>962</v>
      </c>
      <c r="F1302" t="s">
        <v>42</v>
      </c>
      <c r="G1302" s="91">
        <v>2000</v>
      </c>
      <c r="H1302" s="91"/>
      <c r="I1302" s="91">
        <v>74</v>
      </c>
      <c r="J1302" s="91">
        <v>148000</v>
      </c>
    </row>
    <row r="1303" spans="1:10">
      <c r="A1303" t="s">
        <v>954</v>
      </c>
      <c r="B1303" t="s">
        <v>955</v>
      </c>
      <c r="C1303" t="s">
        <v>20</v>
      </c>
      <c r="D1303" t="s">
        <v>337</v>
      </c>
      <c r="E1303" t="s">
        <v>963</v>
      </c>
      <c r="F1303" t="s">
        <v>23</v>
      </c>
      <c r="G1303" s="91">
        <v>300</v>
      </c>
      <c r="H1303" s="91"/>
      <c r="I1303" s="91">
        <v>70</v>
      </c>
      <c r="J1303" s="91">
        <v>21000</v>
      </c>
    </row>
    <row r="1304" spans="1:10">
      <c r="A1304" t="s">
        <v>954</v>
      </c>
      <c r="B1304" t="s">
        <v>955</v>
      </c>
      <c r="C1304" t="s">
        <v>20</v>
      </c>
      <c r="D1304" t="s">
        <v>337</v>
      </c>
      <c r="E1304" t="s">
        <v>964</v>
      </c>
      <c r="F1304" t="s">
        <v>23</v>
      </c>
      <c r="G1304" s="91">
        <v>2000</v>
      </c>
      <c r="H1304" s="91"/>
      <c r="I1304" s="91">
        <v>25</v>
      </c>
      <c r="J1304" s="91">
        <v>50000</v>
      </c>
    </row>
    <row r="1305" spans="1:10">
      <c r="A1305" t="s">
        <v>954</v>
      </c>
      <c r="B1305" t="s">
        <v>955</v>
      </c>
      <c r="C1305" t="s">
        <v>20</v>
      </c>
      <c r="D1305" t="s">
        <v>114</v>
      </c>
      <c r="E1305" t="s">
        <v>965</v>
      </c>
      <c r="F1305" t="s">
        <v>49</v>
      </c>
      <c r="G1305" s="91">
        <v>2100</v>
      </c>
      <c r="H1305" s="91"/>
      <c r="I1305" s="91">
        <v>54</v>
      </c>
      <c r="J1305" s="91">
        <v>113400</v>
      </c>
    </row>
    <row r="1306" spans="1:10">
      <c r="A1306" t="s">
        <v>954</v>
      </c>
      <c r="B1306" t="s">
        <v>955</v>
      </c>
      <c r="C1306" t="s">
        <v>20</v>
      </c>
      <c r="D1306" t="s">
        <v>114</v>
      </c>
      <c r="E1306" t="s">
        <v>121</v>
      </c>
      <c r="F1306" t="s">
        <v>49</v>
      </c>
      <c r="G1306" s="91">
        <v>6010</v>
      </c>
      <c r="H1306" s="91"/>
      <c r="I1306" s="91">
        <v>54</v>
      </c>
      <c r="J1306" s="91">
        <v>324540</v>
      </c>
    </row>
    <row r="1307" spans="1:10">
      <c r="A1307" t="s">
        <v>954</v>
      </c>
      <c r="B1307" t="s">
        <v>955</v>
      </c>
      <c r="C1307" t="s">
        <v>11</v>
      </c>
      <c r="D1307" t="s">
        <v>613</v>
      </c>
      <c r="E1307" t="s">
        <v>614</v>
      </c>
      <c r="F1307" t="s">
        <v>108</v>
      </c>
      <c r="G1307" s="91">
        <v>1509.652</v>
      </c>
      <c r="H1307" s="91"/>
      <c r="I1307" s="91">
        <v>40</v>
      </c>
      <c r="J1307" s="91">
        <v>60386.08</v>
      </c>
    </row>
    <row r="1308" spans="1:10">
      <c r="A1308" t="s">
        <v>954</v>
      </c>
      <c r="B1308" t="s">
        <v>955</v>
      </c>
      <c r="C1308" t="s">
        <v>11</v>
      </c>
      <c r="D1308" t="s">
        <v>613</v>
      </c>
      <c r="E1308" t="s">
        <v>615</v>
      </c>
      <c r="F1308" t="s">
        <v>108</v>
      </c>
      <c r="G1308" s="91">
        <v>1509.652</v>
      </c>
      <c r="H1308" s="91"/>
      <c r="I1308" s="91">
        <v>30</v>
      </c>
      <c r="J1308" s="91">
        <v>45289.56</v>
      </c>
    </row>
    <row r="1309" spans="1:10">
      <c r="A1309" t="s">
        <v>966</v>
      </c>
      <c r="B1309" t="s">
        <v>967</v>
      </c>
      <c r="C1309" t="s">
        <v>20</v>
      </c>
      <c r="D1309" t="s">
        <v>47</v>
      </c>
      <c r="E1309" t="s">
        <v>48</v>
      </c>
      <c r="F1309" t="s">
        <v>49</v>
      </c>
      <c r="G1309" s="91">
        <v>4942.356</v>
      </c>
      <c r="H1309" s="91"/>
      <c r="I1309" s="91">
        <v>75</v>
      </c>
      <c r="J1309" s="91">
        <v>370676.7</v>
      </c>
    </row>
    <row r="1310" spans="1:10">
      <c r="A1310" t="s">
        <v>966</v>
      </c>
      <c r="B1310" t="s">
        <v>967</v>
      </c>
      <c r="C1310" t="s">
        <v>20</v>
      </c>
      <c r="D1310" t="s">
        <v>624</v>
      </c>
      <c r="E1310" t="s">
        <v>625</v>
      </c>
      <c r="F1310" t="s">
        <v>23</v>
      </c>
      <c r="G1310" s="91">
        <v>12355.89</v>
      </c>
      <c r="H1310" s="91"/>
      <c r="I1310" s="91">
        <v>0.799999838133878</v>
      </c>
      <c r="J1310" s="91">
        <v>9884.71</v>
      </c>
    </row>
    <row r="1311" spans="1:10">
      <c r="A1311" t="s">
        <v>966</v>
      </c>
      <c r="B1311" t="s">
        <v>967</v>
      </c>
      <c r="C1311" t="s">
        <v>20</v>
      </c>
      <c r="D1311" t="s">
        <v>624</v>
      </c>
      <c r="E1311" t="s">
        <v>626</v>
      </c>
      <c r="F1311" t="s">
        <v>23</v>
      </c>
      <c r="G1311" s="91">
        <v>12355.89</v>
      </c>
      <c r="H1311" s="91"/>
      <c r="I1311" s="91">
        <v>0.899999919066939</v>
      </c>
      <c r="J1311" s="91">
        <v>11120.3</v>
      </c>
    </row>
    <row r="1312" spans="1:10">
      <c r="A1312" t="s">
        <v>966</v>
      </c>
      <c r="B1312" t="s">
        <v>967</v>
      </c>
      <c r="C1312" t="s">
        <v>20</v>
      </c>
      <c r="D1312" t="s">
        <v>624</v>
      </c>
      <c r="E1312" t="s">
        <v>627</v>
      </c>
      <c r="F1312" t="s">
        <v>23</v>
      </c>
      <c r="G1312" s="91">
        <v>12355.89</v>
      </c>
      <c r="H1312" s="91"/>
      <c r="I1312" s="91">
        <v>3.10000008093306</v>
      </c>
      <c r="J1312" s="91">
        <v>38303.26</v>
      </c>
    </row>
    <row r="1313" spans="1:10">
      <c r="A1313" t="s">
        <v>966</v>
      </c>
      <c r="B1313" t="s">
        <v>967</v>
      </c>
      <c r="C1313" t="s">
        <v>20</v>
      </c>
      <c r="D1313" t="s">
        <v>624</v>
      </c>
      <c r="E1313" t="s">
        <v>628</v>
      </c>
      <c r="F1313" t="s">
        <v>23</v>
      </c>
      <c r="G1313" s="91">
        <v>15444.862</v>
      </c>
      <c r="H1313" s="91"/>
      <c r="I1313" s="91">
        <v>3.09999985755781</v>
      </c>
      <c r="J1313" s="91">
        <v>47879.07</v>
      </c>
    </row>
    <row r="1314" spans="1:10">
      <c r="A1314" t="s">
        <v>966</v>
      </c>
      <c r="B1314" t="s">
        <v>967</v>
      </c>
      <c r="C1314" t="s">
        <v>20</v>
      </c>
      <c r="D1314" t="s">
        <v>624</v>
      </c>
      <c r="E1314" t="s">
        <v>629</v>
      </c>
      <c r="F1314" t="s">
        <v>23</v>
      </c>
      <c r="G1314" s="91">
        <v>6177.945</v>
      </c>
      <c r="H1314" s="91"/>
      <c r="I1314" s="91">
        <v>6.4999995953347</v>
      </c>
      <c r="J1314" s="91">
        <v>40156.64</v>
      </c>
    </row>
    <row r="1315" spans="1:10">
      <c r="A1315" t="s">
        <v>966</v>
      </c>
      <c r="B1315" t="s">
        <v>967</v>
      </c>
      <c r="C1315" t="s">
        <v>11</v>
      </c>
      <c r="D1315" t="s">
        <v>630</v>
      </c>
      <c r="E1315" t="s">
        <v>631</v>
      </c>
      <c r="F1315" t="s">
        <v>17</v>
      </c>
      <c r="G1315" s="91">
        <v>411.863</v>
      </c>
      <c r="H1315" s="91"/>
      <c r="I1315" s="91">
        <v>9380</v>
      </c>
      <c r="J1315" s="91">
        <v>3863274.94</v>
      </c>
    </row>
    <row r="1316" spans="1:10">
      <c r="A1316" t="s">
        <v>968</v>
      </c>
      <c r="B1316" t="s">
        <v>969</v>
      </c>
      <c r="C1316" t="s">
        <v>11</v>
      </c>
      <c r="D1316" t="s">
        <v>634</v>
      </c>
      <c r="E1316" t="s">
        <v>635</v>
      </c>
      <c r="F1316" t="s">
        <v>23</v>
      </c>
      <c r="G1316" s="91">
        <v>1234.666</v>
      </c>
      <c r="H1316" s="91"/>
      <c r="I1316" s="91">
        <v>16.0000032397426</v>
      </c>
      <c r="J1316" s="91">
        <v>19754.66</v>
      </c>
    </row>
    <row r="1317" spans="1:10">
      <c r="A1317" t="s">
        <v>968</v>
      </c>
      <c r="B1317" t="s">
        <v>969</v>
      </c>
      <c r="C1317" t="s">
        <v>20</v>
      </c>
      <c r="D1317" t="s">
        <v>636</v>
      </c>
      <c r="E1317" t="s">
        <v>637</v>
      </c>
      <c r="F1317" t="s">
        <v>23</v>
      </c>
      <c r="G1317" s="91">
        <v>617.333</v>
      </c>
      <c r="H1317" s="91"/>
      <c r="I1317" s="91">
        <v>40</v>
      </c>
      <c r="J1317" s="91">
        <v>24693.32</v>
      </c>
    </row>
    <row r="1318" spans="1:10">
      <c r="A1318" t="s">
        <v>970</v>
      </c>
      <c r="B1318" t="s">
        <v>971</v>
      </c>
      <c r="C1318" t="s">
        <v>11</v>
      </c>
      <c r="D1318" t="s">
        <v>634</v>
      </c>
      <c r="E1318" t="s">
        <v>640</v>
      </c>
      <c r="F1318" t="s">
        <v>23</v>
      </c>
      <c r="G1318" s="91">
        <v>617.332</v>
      </c>
      <c r="H1318" s="91"/>
      <c r="I1318" s="91">
        <v>16.9999935205044</v>
      </c>
      <c r="J1318" s="91">
        <v>10494.64</v>
      </c>
    </row>
    <row r="1319" spans="1:10">
      <c r="A1319" t="s">
        <v>970</v>
      </c>
      <c r="B1319" t="s">
        <v>971</v>
      </c>
      <c r="C1319" t="s">
        <v>20</v>
      </c>
      <c r="D1319" t="s">
        <v>636</v>
      </c>
      <c r="E1319" t="s">
        <v>641</v>
      </c>
      <c r="F1319" t="s">
        <v>23</v>
      </c>
      <c r="G1319" s="91">
        <v>308.666</v>
      </c>
      <c r="H1319" s="91"/>
      <c r="I1319" s="91">
        <v>58.9999870410087</v>
      </c>
      <c r="J1319" s="91">
        <v>18211.29</v>
      </c>
    </row>
    <row r="1320" spans="1:10">
      <c r="A1320" t="s">
        <v>972</v>
      </c>
      <c r="B1320" t="s">
        <v>973</v>
      </c>
      <c r="C1320" t="s">
        <v>11</v>
      </c>
      <c r="D1320" t="s">
        <v>634</v>
      </c>
      <c r="E1320" t="s">
        <v>650</v>
      </c>
      <c r="F1320" t="s">
        <v>23</v>
      </c>
      <c r="G1320" s="91">
        <v>247.11</v>
      </c>
      <c r="H1320" s="91"/>
      <c r="I1320" s="91">
        <v>18</v>
      </c>
      <c r="J1320" s="91">
        <v>4447.98</v>
      </c>
    </row>
    <row r="1321" spans="1:10">
      <c r="A1321" t="s">
        <v>972</v>
      </c>
      <c r="B1321" t="s">
        <v>973</v>
      </c>
      <c r="C1321" t="s">
        <v>20</v>
      </c>
      <c r="D1321" t="s">
        <v>636</v>
      </c>
      <c r="E1321" t="s">
        <v>644</v>
      </c>
      <c r="F1321" t="s">
        <v>23</v>
      </c>
      <c r="G1321" s="91">
        <v>123.555</v>
      </c>
      <c r="H1321" s="91"/>
      <c r="I1321" s="91">
        <v>103.000040467808</v>
      </c>
      <c r="J1321" s="91">
        <v>12726.17</v>
      </c>
    </row>
    <row r="1322" spans="1:10">
      <c r="A1322" t="s">
        <v>974</v>
      </c>
      <c r="B1322" t="s">
        <v>975</v>
      </c>
      <c r="C1322" t="s">
        <v>11</v>
      </c>
      <c r="D1322" t="s">
        <v>634</v>
      </c>
      <c r="E1322" t="s">
        <v>635</v>
      </c>
      <c r="F1322" t="s">
        <v>23</v>
      </c>
      <c r="G1322" s="91">
        <v>61.77</v>
      </c>
      <c r="H1322" s="91"/>
      <c r="I1322" s="91">
        <v>16</v>
      </c>
      <c r="J1322" s="91">
        <v>988.32</v>
      </c>
    </row>
    <row r="1323" spans="1:10">
      <c r="A1323" t="s">
        <v>974</v>
      </c>
      <c r="B1323" t="s">
        <v>975</v>
      </c>
      <c r="C1323" t="s">
        <v>11</v>
      </c>
      <c r="D1323" t="s">
        <v>634</v>
      </c>
      <c r="E1323" t="s">
        <v>640</v>
      </c>
      <c r="F1323" t="s">
        <v>23</v>
      </c>
      <c r="G1323" s="91">
        <v>61.77</v>
      </c>
      <c r="H1323" s="91"/>
      <c r="I1323" s="91">
        <v>17</v>
      </c>
      <c r="J1323" s="91">
        <v>1050.09</v>
      </c>
    </row>
    <row r="1324" spans="1:10">
      <c r="A1324" t="s">
        <v>974</v>
      </c>
      <c r="B1324" t="s">
        <v>975</v>
      </c>
      <c r="C1324" t="s">
        <v>20</v>
      </c>
      <c r="D1324" t="s">
        <v>636</v>
      </c>
      <c r="E1324" t="s">
        <v>647</v>
      </c>
      <c r="F1324" t="s">
        <v>23</v>
      </c>
      <c r="G1324" s="91">
        <v>61.77</v>
      </c>
      <c r="H1324" s="91"/>
      <c r="I1324" s="91">
        <v>63</v>
      </c>
      <c r="J1324" s="91">
        <v>3891.51</v>
      </c>
    </row>
    <row r="1325" spans="1:10">
      <c r="A1325" t="s">
        <v>976</v>
      </c>
      <c r="B1325" t="s">
        <v>977</v>
      </c>
      <c r="C1325" t="s">
        <v>11</v>
      </c>
      <c r="D1325" t="s">
        <v>634</v>
      </c>
      <c r="E1325" t="s">
        <v>640</v>
      </c>
      <c r="F1325" t="s">
        <v>23</v>
      </c>
      <c r="G1325" s="91">
        <v>123.554</v>
      </c>
      <c r="H1325" s="91"/>
      <c r="I1325" s="91">
        <v>17.0000161872542</v>
      </c>
      <c r="J1325" s="91">
        <v>2100.42</v>
      </c>
    </row>
    <row r="1326" spans="1:10">
      <c r="A1326" t="s">
        <v>976</v>
      </c>
      <c r="B1326" t="s">
        <v>977</v>
      </c>
      <c r="C1326" t="s">
        <v>11</v>
      </c>
      <c r="D1326" t="s">
        <v>634</v>
      </c>
      <c r="E1326" t="s">
        <v>650</v>
      </c>
      <c r="F1326" t="s">
        <v>23</v>
      </c>
      <c r="G1326" s="91">
        <v>123.554</v>
      </c>
      <c r="H1326" s="91"/>
      <c r="I1326" s="91">
        <v>17.9999838127458</v>
      </c>
      <c r="J1326" s="91">
        <v>2223.97</v>
      </c>
    </row>
    <row r="1327" spans="1:10">
      <c r="A1327" t="s">
        <v>976</v>
      </c>
      <c r="B1327" t="s">
        <v>977</v>
      </c>
      <c r="C1327" t="s">
        <v>20</v>
      </c>
      <c r="D1327" t="s">
        <v>636</v>
      </c>
      <c r="E1327" t="s">
        <v>651</v>
      </c>
      <c r="F1327" t="s">
        <v>23</v>
      </c>
      <c r="G1327" s="91">
        <v>61.777</v>
      </c>
      <c r="H1327" s="91"/>
      <c r="I1327" s="91">
        <v>108.000064749017</v>
      </c>
      <c r="J1327" s="91">
        <v>6671.92</v>
      </c>
    </row>
    <row r="1328" spans="1:10">
      <c r="A1328" t="s">
        <v>978</v>
      </c>
      <c r="B1328" t="s">
        <v>979</v>
      </c>
      <c r="C1328" t="s">
        <v>11</v>
      </c>
      <c r="D1328" t="s">
        <v>634</v>
      </c>
      <c r="E1328" t="s">
        <v>635</v>
      </c>
      <c r="F1328" t="s">
        <v>23</v>
      </c>
      <c r="G1328" s="91">
        <v>123.554</v>
      </c>
      <c r="H1328" s="91"/>
      <c r="I1328" s="91">
        <v>15.9999676254917</v>
      </c>
      <c r="J1328" s="91">
        <v>1976.86</v>
      </c>
    </row>
    <row r="1329" spans="1:10">
      <c r="A1329" t="s">
        <v>978</v>
      </c>
      <c r="B1329" t="s">
        <v>979</v>
      </c>
      <c r="C1329" t="s">
        <v>11</v>
      </c>
      <c r="D1329" t="s">
        <v>634</v>
      </c>
      <c r="E1329" t="s">
        <v>650</v>
      </c>
      <c r="F1329" t="s">
        <v>23</v>
      </c>
      <c r="G1329" s="91">
        <v>123.554</v>
      </c>
      <c r="H1329" s="91"/>
      <c r="I1329" s="91">
        <v>17.9999838127458</v>
      </c>
      <c r="J1329" s="91">
        <v>2223.97</v>
      </c>
    </row>
    <row r="1330" spans="1:10">
      <c r="A1330" t="s">
        <v>978</v>
      </c>
      <c r="B1330" t="s">
        <v>979</v>
      </c>
      <c r="C1330" t="s">
        <v>20</v>
      </c>
      <c r="D1330" t="s">
        <v>636</v>
      </c>
      <c r="E1330" t="s">
        <v>654</v>
      </c>
      <c r="F1330" t="s">
        <v>23</v>
      </c>
      <c r="G1330" s="91">
        <v>61.777</v>
      </c>
      <c r="H1330" s="91"/>
      <c r="I1330" s="91">
        <v>108.999951438238</v>
      </c>
      <c r="J1330" s="91">
        <v>6733.69</v>
      </c>
    </row>
    <row r="1331" spans="1:10">
      <c r="A1331" t="s">
        <v>980</v>
      </c>
      <c r="B1331" t="s">
        <v>981</v>
      </c>
      <c r="C1331" t="s">
        <v>11</v>
      </c>
      <c r="D1331" t="s">
        <v>657</v>
      </c>
      <c r="E1331" t="s">
        <v>658</v>
      </c>
      <c r="F1331" t="s">
        <v>34</v>
      </c>
      <c r="G1331" s="91">
        <v>666.454</v>
      </c>
      <c r="H1331" s="91"/>
      <c r="I1331" s="91">
        <v>45</v>
      </c>
      <c r="J1331" s="91">
        <v>29990.43</v>
      </c>
    </row>
    <row r="1332" spans="1:10">
      <c r="A1332" t="s">
        <v>982</v>
      </c>
      <c r="B1332" t="s">
        <v>983</v>
      </c>
      <c r="C1332" t="s">
        <v>11</v>
      </c>
      <c r="D1332" t="s">
        <v>12</v>
      </c>
      <c r="E1332" t="s">
        <v>13</v>
      </c>
      <c r="F1332" t="s">
        <v>14</v>
      </c>
      <c r="G1332" s="91">
        <v>1.555</v>
      </c>
      <c r="H1332" s="91"/>
      <c r="I1332" s="91">
        <v>450</v>
      </c>
      <c r="J1332" s="91">
        <v>699.75</v>
      </c>
    </row>
    <row r="1333" spans="1:10">
      <c r="A1333" t="s">
        <v>982</v>
      </c>
      <c r="B1333" t="s">
        <v>983</v>
      </c>
      <c r="C1333" t="s">
        <v>11</v>
      </c>
      <c r="D1333" t="s">
        <v>12</v>
      </c>
      <c r="E1333" t="s">
        <v>15</v>
      </c>
      <c r="F1333" t="s">
        <v>14</v>
      </c>
      <c r="G1333" s="91">
        <v>0.243</v>
      </c>
      <c r="H1333" s="91"/>
      <c r="I1333" s="91">
        <v>600</v>
      </c>
      <c r="J1333" s="91">
        <v>145.8</v>
      </c>
    </row>
    <row r="1334" spans="1:10">
      <c r="A1334" t="s">
        <v>982</v>
      </c>
      <c r="B1334" t="s">
        <v>983</v>
      </c>
      <c r="C1334" t="s">
        <v>11</v>
      </c>
      <c r="D1334" t="s">
        <v>12</v>
      </c>
      <c r="E1334" t="s">
        <v>28</v>
      </c>
      <c r="F1334" t="s">
        <v>14</v>
      </c>
      <c r="G1334" s="91">
        <v>0.073</v>
      </c>
      <c r="H1334" s="91"/>
      <c r="I1334" s="91">
        <v>600</v>
      </c>
      <c r="J1334" s="91">
        <v>43.8</v>
      </c>
    </row>
    <row r="1335" spans="1:10">
      <c r="A1335" t="s">
        <v>982</v>
      </c>
      <c r="B1335" t="s">
        <v>983</v>
      </c>
      <c r="C1335" t="s">
        <v>20</v>
      </c>
      <c r="D1335" t="s">
        <v>106</v>
      </c>
      <c r="E1335" t="s">
        <v>107</v>
      </c>
      <c r="F1335" t="s">
        <v>108</v>
      </c>
      <c r="G1335" s="91">
        <v>2.973</v>
      </c>
      <c r="H1335" s="91"/>
      <c r="I1335" s="91">
        <v>3362.00134544231</v>
      </c>
      <c r="J1335" s="91">
        <v>9995.23</v>
      </c>
    </row>
    <row r="1336" spans="1:10">
      <c r="A1336" t="s">
        <v>982</v>
      </c>
      <c r="B1336" t="s">
        <v>983</v>
      </c>
      <c r="C1336" t="s">
        <v>20</v>
      </c>
      <c r="D1336" t="s">
        <v>596</v>
      </c>
      <c r="E1336" t="s">
        <v>597</v>
      </c>
      <c r="F1336" t="s">
        <v>46</v>
      </c>
      <c r="G1336" s="91">
        <v>0.685</v>
      </c>
      <c r="H1336" s="91"/>
      <c r="I1336" s="91">
        <v>2200</v>
      </c>
      <c r="J1336" s="91">
        <v>1507</v>
      </c>
    </row>
    <row r="1337" spans="1:10">
      <c r="A1337" t="s">
        <v>984</v>
      </c>
      <c r="B1337" t="s">
        <v>985</v>
      </c>
      <c r="C1337" t="s">
        <v>11</v>
      </c>
      <c r="D1337" t="s">
        <v>12</v>
      </c>
      <c r="E1337" t="s">
        <v>13</v>
      </c>
      <c r="F1337" t="s">
        <v>14</v>
      </c>
      <c r="G1337" s="91">
        <v>48</v>
      </c>
      <c r="H1337" s="91"/>
      <c r="I1337" s="91">
        <v>450</v>
      </c>
      <c r="J1337" s="91">
        <v>21600</v>
      </c>
    </row>
    <row r="1338" spans="1:10">
      <c r="A1338" t="s">
        <v>984</v>
      </c>
      <c r="B1338" t="s">
        <v>985</v>
      </c>
      <c r="C1338" t="s">
        <v>11</v>
      </c>
      <c r="D1338" t="s">
        <v>12</v>
      </c>
      <c r="E1338" t="s">
        <v>15</v>
      </c>
      <c r="F1338" t="s">
        <v>14</v>
      </c>
      <c r="G1338" s="91">
        <v>7.5</v>
      </c>
      <c r="H1338" s="91"/>
      <c r="I1338" s="91">
        <v>600</v>
      </c>
      <c r="J1338" s="91">
        <v>4500</v>
      </c>
    </row>
    <row r="1339" spans="1:10">
      <c r="A1339" t="s">
        <v>984</v>
      </c>
      <c r="B1339" t="s">
        <v>985</v>
      </c>
      <c r="C1339" t="s">
        <v>11</v>
      </c>
      <c r="D1339" t="s">
        <v>12</v>
      </c>
      <c r="E1339" t="s">
        <v>28</v>
      </c>
      <c r="F1339" t="s">
        <v>14</v>
      </c>
      <c r="G1339" s="91">
        <v>2.25</v>
      </c>
      <c r="H1339" s="91"/>
      <c r="I1339" s="91">
        <v>600</v>
      </c>
      <c r="J1339" s="91">
        <v>1350</v>
      </c>
    </row>
    <row r="1340" spans="1:10">
      <c r="A1340" t="s">
        <v>984</v>
      </c>
      <c r="B1340" t="s">
        <v>985</v>
      </c>
      <c r="C1340" t="s">
        <v>20</v>
      </c>
      <c r="D1340" t="s">
        <v>106</v>
      </c>
      <c r="E1340" t="s">
        <v>107</v>
      </c>
      <c r="F1340" t="s">
        <v>108</v>
      </c>
      <c r="G1340" s="91">
        <v>153</v>
      </c>
      <c r="H1340" s="91"/>
      <c r="I1340" s="91">
        <v>3362</v>
      </c>
      <c r="J1340" s="91">
        <v>514386</v>
      </c>
    </row>
    <row r="1341" spans="1:10">
      <c r="A1341" t="s">
        <v>986</v>
      </c>
      <c r="B1341" t="s">
        <v>987</v>
      </c>
      <c r="C1341" t="s">
        <v>11</v>
      </c>
      <c r="D1341" t="s">
        <v>665</v>
      </c>
      <c r="E1341" t="s">
        <v>666</v>
      </c>
      <c r="F1341" t="s">
        <v>34</v>
      </c>
      <c r="G1341" s="91">
        <v>12927.707</v>
      </c>
      <c r="H1341" s="91"/>
      <c r="I1341" s="91">
        <v>33.3099999868499</v>
      </c>
      <c r="J1341" s="91">
        <v>430621.92</v>
      </c>
    </row>
    <row r="1342" spans="1:10">
      <c r="A1342" t="s">
        <v>986</v>
      </c>
      <c r="B1342" t="s">
        <v>987</v>
      </c>
      <c r="C1342" t="s">
        <v>11</v>
      </c>
      <c r="D1342" t="s">
        <v>12</v>
      </c>
      <c r="E1342" t="s">
        <v>13</v>
      </c>
      <c r="F1342" t="s">
        <v>14</v>
      </c>
      <c r="G1342" s="91">
        <v>656.645</v>
      </c>
      <c r="H1342" s="91"/>
      <c r="I1342" s="91">
        <v>450</v>
      </c>
      <c r="J1342" s="91">
        <v>295490.25</v>
      </c>
    </row>
    <row r="1343" spans="1:10">
      <c r="A1343" t="s">
        <v>986</v>
      </c>
      <c r="B1343" t="s">
        <v>987</v>
      </c>
      <c r="C1343" t="s">
        <v>11</v>
      </c>
      <c r="D1343" t="s">
        <v>12</v>
      </c>
      <c r="E1343" t="s">
        <v>15</v>
      </c>
      <c r="F1343" t="s">
        <v>14</v>
      </c>
      <c r="G1343" s="91">
        <v>102.601</v>
      </c>
      <c r="H1343" s="91"/>
      <c r="I1343" s="91">
        <v>600</v>
      </c>
      <c r="J1343" s="91">
        <v>61560.6</v>
      </c>
    </row>
    <row r="1344" spans="1:10">
      <c r="A1344" t="s">
        <v>986</v>
      </c>
      <c r="B1344" t="s">
        <v>987</v>
      </c>
      <c r="C1344" t="s">
        <v>11</v>
      </c>
      <c r="D1344" t="s">
        <v>12</v>
      </c>
      <c r="E1344" t="s">
        <v>28</v>
      </c>
      <c r="F1344" t="s">
        <v>14</v>
      </c>
      <c r="G1344" s="91">
        <v>30.78</v>
      </c>
      <c r="H1344" s="91"/>
      <c r="I1344" s="91">
        <v>600</v>
      </c>
      <c r="J1344" s="91">
        <v>18468</v>
      </c>
    </row>
    <row r="1345" spans="1:10">
      <c r="A1345" t="s">
        <v>986</v>
      </c>
      <c r="B1345" t="s">
        <v>987</v>
      </c>
      <c r="C1345" t="s">
        <v>20</v>
      </c>
      <c r="D1345" t="s">
        <v>59</v>
      </c>
      <c r="E1345" t="s">
        <v>667</v>
      </c>
      <c r="F1345" t="s">
        <v>49</v>
      </c>
      <c r="G1345" s="91">
        <v>1949.416</v>
      </c>
      <c r="H1345" s="91"/>
      <c r="I1345" s="91">
        <v>41.9999989740517</v>
      </c>
      <c r="J1345" s="91">
        <v>81875.47</v>
      </c>
    </row>
    <row r="1346" spans="1:10">
      <c r="A1346" t="s">
        <v>986</v>
      </c>
      <c r="B1346" t="s">
        <v>987</v>
      </c>
      <c r="C1346" t="s">
        <v>20</v>
      </c>
      <c r="D1346" t="s">
        <v>59</v>
      </c>
      <c r="E1346" t="s">
        <v>668</v>
      </c>
      <c r="F1346" t="s">
        <v>49</v>
      </c>
      <c r="G1346" s="91">
        <v>2626.582</v>
      </c>
      <c r="H1346" s="91"/>
      <c r="I1346" s="91">
        <v>15</v>
      </c>
      <c r="J1346" s="91">
        <v>39398.73</v>
      </c>
    </row>
    <row r="1347" spans="1:10">
      <c r="A1347" t="s">
        <v>986</v>
      </c>
      <c r="B1347" t="s">
        <v>987</v>
      </c>
      <c r="C1347" t="s">
        <v>20</v>
      </c>
      <c r="D1347" t="s">
        <v>59</v>
      </c>
      <c r="E1347" t="s">
        <v>60</v>
      </c>
      <c r="F1347" t="s">
        <v>49</v>
      </c>
      <c r="G1347" s="91">
        <v>576.617</v>
      </c>
      <c r="H1347" s="91"/>
      <c r="I1347" s="91">
        <v>17.0000017342534</v>
      </c>
      <c r="J1347" s="91">
        <v>9802.49</v>
      </c>
    </row>
    <row r="1348" spans="1:10">
      <c r="A1348" t="s">
        <v>986</v>
      </c>
      <c r="B1348" t="s">
        <v>987</v>
      </c>
      <c r="C1348" t="s">
        <v>20</v>
      </c>
      <c r="D1348" t="s">
        <v>59</v>
      </c>
      <c r="E1348" t="s">
        <v>988</v>
      </c>
      <c r="F1348" t="s">
        <v>49</v>
      </c>
      <c r="G1348" s="91">
        <v>576.617</v>
      </c>
      <c r="H1348" s="91"/>
      <c r="I1348" s="91">
        <v>35.9999965314932</v>
      </c>
      <c r="J1348" s="91">
        <v>20758.21</v>
      </c>
    </row>
    <row r="1349" spans="1:10">
      <c r="A1349" t="s">
        <v>986</v>
      </c>
      <c r="B1349" t="s">
        <v>987</v>
      </c>
      <c r="C1349" t="s">
        <v>20</v>
      </c>
      <c r="D1349" t="s">
        <v>59</v>
      </c>
      <c r="E1349" t="s">
        <v>989</v>
      </c>
      <c r="F1349" t="s">
        <v>49</v>
      </c>
      <c r="G1349" s="91">
        <v>1000</v>
      </c>
      <c r="H1349" s="91"/>
      <c r="I1349" s="91">
        <v>23.5</v>
      </c>
      <c r="J1349" s="91">
        <v>23500</v>
      </c>
    </row>
    <row r="1350" spans="1:10">
      <c r="A1350" t="s">
        <v>986</v>
      </c>
      <c r="B1350" t="s">
        <v>987</v>
      </c>
      <c r="C1350" t="s">
        <v>20</v>
      </c>
      <c r="D1350" t="s">
        <v>106</v>
      </c>
      <c r="E1350" t="s">
        <v>838</v>
      </c>
      <c r="F1350" t="s">
        <v>108</v>
      </c>
      <c r="G1350" s="91">
        <v>2093.057</v>
      </c>
      <c r="H1350" s="91"/>
      <c r="I1350" s="91">
        <v>5700</v>
      </c>
      <c r="J1350" s="91">
        <v>11930424.9</v>
      </c>
    </row>
    <row r="1351" spans="1:10">
      <c r="A1351" t="s">
        <v>990</v>
      </c>
      <c r="B1351" t="s">
        <v>991</v>
      </c>
      <c r="C1351" t="s">
        <v>11</v>
      </c>
      <c r="D1351" t="s">
        <v>12</v>
      </c>
      <c r="E1351" t="s">
        <v>13</v>
      </c>
      <c r="F1351" t="s">
        <v>14</v>
      </c>
      <c r="G1351" s="91">
        <v>286.815</v>
      </c>
      <c r="H1351" s="91"/>
      <c r="I1351" s="91">
        <v>450</v>
      </c>
      <c r="J1351" s="91">
        <v>129066.75</v>
      </c>
    </row>
    <row r="1352" spans="1:10">
      <c r="A1352" t="s">
        <v>990</v>
      </c>
      <c r="B1352" t="s">
        <v>991</v>
      </c>
      <c r="C1352" t="s">
        <v>11</v>
      </c>
      <c r="D1352" t="s">
        <v>12</v>
      </c>
      <c r="E1352" t="s">
        <v>15</v>
      </c>
      <c r="F1352" t="s">
        <v>14</v>
      </c>
      <c r="G1352" s="91">
        <v>44.815</v>
      </c>
      <c r="H1352" s="91"/>
      <c r="I1352" s="91">
        <v>600</v>
      </c>
      <c r="J1352" s="91">
        <v>26889</v>
      </c>
    </row>
    <row r="1353" spans="1:10">
      <c r="A1353" t="s">
        <v>990</v>
      </c>
      <c r="B1353" t="s">
        <v>991</v>
      </c>
      <c r="C1353" t="s">
        <v>11</v>
      </c>
      <c r="D1353" t="s">
        <v>12</v>
      </c>
      <c r="E1353" t="s">
        <v>28</v>
      </c>
      <c r="F1353" t="s">
        <v>14</v>
      </c>
      <c r="G1353" s="91">
        <v>13.444</v>
      </c>
      <c r="H1353" s="91"/>
      <c r="I1353" s="91">
        <v>600</v>
      </c>
      <c r="J1353" s="91">
        <v>8066.4</v>
      </c>
    </row>
    <row r="1354" spans="1:10">
      <c r="A1354" t="s">
        <v>990</v>
      </c>
      <c r="B1354" t="s">
        <v>991</v>
      </c>
      <c r="C1354" t="s">
        <v>20</v>
      </c>
      <c r="D1354" t="s">
        <v>59</v>
      </c>
      <c r="E1354" t="s">
        <v>992</v>
      </c>
      <c r="F1354" t="s">
        <v>49</v>
      </c>
      <c r="G1354" s="91">
        <v>1147.261</v>
      </c>
      <c r="H1354" s="91"/>
      <c r="I1354" s="91">
        <v>15.0000043582062</v>
      </c>
      <c r="J1354" s="91">
        <v>17208.92</v>
      </c>
    </row>
    <row r="1355" spans="1:10">
      <c r="A1355" t="s">
        <v>990</v>
      </c>
      <c r="B1355" t="s">
        <v>991</v>
      </c>
      <c r="C1355" t="s">
        <v>20</v>
      </c>
      <c r="D1355" t="s">
        <v>59</v>
      </c>
      <c r="E1355" t="s">
        <v>667</v>
      </c>
      <c r="F1355" t="s">
        <v>49</v>
      </c>
      <c r="G1355" s="91">
        <v>851.483</v>
      </c>
      <c r="H1355" s="91"/>
      <c r="I1355" s="91">
        <v>42.0000046976863</v>
      </c>
      <c r="J1355" s="91">
        <v>35762.29</v>
      </c>
    </row>
    <row r="1356" spans="1:10">
      <c r="A1356" t="s">
        <v>990</v>
      </c>
      <c r="B1356" t="s">
        <v>991</v>
      </c>
      <c r="C1356" t="s">
        <v>20</v>
      </c>
      <c r="D1356" t="s">
        <v>59</v>
      </c>
      <c r="E1356" t="s">
        <v>668</v>
      </c>
      <c r="F1356" t="s">
        <v>49</v>
      </c>
      <c r="G1356" s="91">
        <v>0</v>
      </c>
      <c r="H1356" s="91"/>
      <c r="I1356" s="91">
        <v>0</v>
      </c>
      <c r="J1356" s="91">
        <v>0</v>
      </c>
    </row>
    <row r="1357" spans="1:10">
      <c r="A1357" t="s">
        <v>990</v>
      </c>
      <c r="B1357" t="s">
        <v>991</v>
      </c>
      <c r="C1357" t="s">
        <v>20</v>
      </c>
      <c r="D1357" t="s">
        <v>59</v>
      </c>
      <c r="E1357" t="s">
        <v>60</v>
      </c>
      <c r="F1357" t="s">
        <v>49</v>
      </c>
      <c r="G1357" s="91">
        <v>251.86</v>
      </c>
      <c r="H1357" s="91"/>
      <c r="I1357" s="91">
        <v>17</v>
      </c>
      <c r="J1357" s="91">
        <v>4281.62</v>
      </c>
    </row>
    <row r="1358" spans="1:10">
      <c r="A1358" t="s">
        <v>990</v>
      </c>
      <c r="B1358" t="s">
        <v>991</v>
      </c>
      <c r="C1358" t="s">
        <v>20</v>
      </c>
      <c r="D1358" t="s">
        <v>59</v>
      </c>
      <c r="E1358" t="s">
        <v>988</v>
      </c>
      <c r="F1358" t="s">
        <v>49</v>
      </c>
      <c r="G1358" s="91">
        <v>503.719</v>
      </c>
      <c r="H1358" s="91"/>
      <c r="I1358" s="91">
        <v>35.9999920590647</v>
      </c>
      <c r="J1358" s="91">
        <v>18133.88</v>
      </c>
    </row>
    <row r="1359" spans="1:10">
      <c r="A1359" t="s">
        <v>990</v>
      </c>
      <c r="B1359" t="s">
        <v>991</v>
      </c>
      <c r="C1359" t="s">
        <v>20</v>
      </c>
      <c r="D1359" t="s">
        <v>59</v>
      </c>
      <c r="E1359" t="s">
        <v>989</v>
      </c>
      <c r="F1359" t="s">
        <v>49</v>
      </c>
      <c r="G1359" s="91">
        <v>1000</v>
      </c>
      <c r="H1359" s="91"/>
      <c r="I1359" s="91">
        <v>23.5</v>
      </c>
      <c r="J1359" s="91">
        <v>23500</v>
      </c>
    </row>
    <row r="1360" spans="1:10">
      <c r="A1360" t="s">
        <v>990</v>
      </c>
      <c r="B1360" t="s">
        <v>991</v>
      </c>
      <c r="C1360" t="s">
        <v>20</v>
      </c>
      <c r="D1360" t="s">
        <v>106</v>
      </c>
      <c r="E1360" t="s">
        <v>873</v>
      </c>
      <c r="F1360" t="s">
        <v>108</v>
      </c>
      <c r="G1360" s="91">
        <v>914.224</v>
      </c>
      <c r="H1360" s="91"/>
      <c r="I1360" s="91">
        <v>6380.9999956247</v>
      </c>
      <c r="J1360" s="91">
        <v>5833663.34</v>
      </c>
    </row>
    <row r="1361" spans="1:10">
      <c r="A1361" t="s">
        <v>993</v>
      </c>
      <c r="B1361" t="s">
        <v>994</v>
      </c>
      <c r="C1361" t="s">
        <v>11</v>
      </c>
      <c r="D1361" t="s">
        <v>618</v>
      </c>
      <c r="E1361" t="s">
        <v>619</v>
      </c>
      <c r="F1361" t="s">
        <v>23</v>
      </c>
      <c r="G1361" s="91">
        <v>42</v>
      </c>
      <c r="H1361" s="91"/>
      <c r="I1361" s="91">
        <v>4750</v>
      </c>
      <c r="J1361" s="91">
        <v>199500</v>
      </c>
    </row>
    <row r="1362" spans="1:10">
      <c r="A1362" t="s">
        <v>993</v>
      </c>
      <c r="B1362" t="s">
        <v>994</v>
      </c>
      <c r="C1362" t="s">
        <v>11</v>
      </c>
      <c r="D1362" t="s">
        <v>618</v>
      </c>
      <c r="E1362" t="s">
        <v>620</v>
      </c>
      <c r="F1362" t="s">
        <v>23</v>
      </c>
      <c r="G1362" s="91">
        <v>36</v>
      </c>
      <c r="H1362" s="91"/>
      <c r="I1362" s="91">
        <v>2375</v>
      </c>
      <c r="J1362" s="91">
        <v>85500</v>
      </c>
    </row>
    <row r="1363" spans="1:10">
      <c r="A1363" t="s">
        <v>993</v>
      </c>
      <c r="B1363" t="s">
        <v>994</v>
      </c>
      <c r="C1363" t="s">
        <v>11</v>
      </c>
      <c r="D1363" t="s">
        <v>618</v>
      </c>
      <c r="E1363" t="s">
        <v>621</v>
      </c>
      <c r="F1363" t="s">
        <v>23</v>
      </c>
      <c r="G1363" s="91">
        <v>6</v>
      </c>
      <c r="H1363" s="91"/>
      <c r="I1363" s="91">
        <v>3000</v>
      </c>
      <c r="J1363" s="91">
        <v>18000</v>
      </c>
    </row>
    <row r="1364" spans="1:10">
      <c r="A1364" t="s">
        <v>995</v>
      </c>
      <c r="B1364" t="s">
        <v>996</v>
      </c>
      <c r="C1364" t="s">
        <v>11</v>
      </c>
      <c r="D1364" t="s">
        <v>12</v>
      </c>
      <c r="E1364" t="s">
        <v>13</v>
      </c>
      <c r="F1364" t="s">
        <v>14</v>
      </c>
      <c r="G1364" s="91">
        <v>952.885</v>
      </c>
      <c r="H1364" s="91"/>
      <c r="I1364" s="91">
        <v>450</v>
      </c>
      <c r="J1364" s="91">
        <v>428798.25</v>
      </c>
    </row>
    <row r="1365" spans="1:10">
      <c r="A1365" t="s">
        <v>995</v>
      </c>
      <c r="B1365" t="s">
        <v>996</v>
      </c>
      <c r="C1365" t="s">
        <v>20</v>
      </c>
      <c r="D1365" t="s">
        <v>576</v>
      </c>
      <c r="E1365" t="s">
        <v>918</v>
      </c>
      <c r="F1365" t="s">
        <v>100</v>
      </c>
      <c r="G1365" s="91">
        <v>16146</v>
      </c>
      <c r="H1365" s="91"/>
      <c r="I1365" s="91">
        <v>44</v>
      </c>
      <c r="J1365" s="91">
        <v>710424</v>
      </c>
    </row>
    <row r="1366" spans="1:10">
      <c r="A1366" t="s">
        <v>995</v>
      </c>
      <c r="B1366" t="s">
        <v>996</v>
      </c>
      <c r="C1366" t="s">
        <v>20</v>
      </c>
      <c r="D1366" t="s">
        <v>112</v>
      </c>
      <c r="E1366" t="s">
        <v>113</v>
      </c>
      <c r="F1366" t="s">
        <v>46</v>
      </c>
      <c r="G1366" s="91">
        <v>20</v>
      </c>
      <c r="H1366" s="91"/>
      <c r="I1366" s="91">
        <v>3550</v>
      </c>
      <c r="J1366" s="91">
        <v>71000</v>
      </c>
    </row>
    <row r="1367" spans="1:10">
      <c r="A1367" t="s">
        <v>997</v>
      </c>
      <c r="B1367" t="s">
        <v>998</v>
      </c>
      <c r="C1367" t="s">
        <v>20</v>
      </c>
      <c r="D1367" t="s">
        <v>102</v>
      </c>
      <c r="E1367" t="s">
        <v>103</v>
      </c>
      <c r="F1367" t="s">
        <v>46</v>
      </c>
      <c r="G1367" s="91">
        <v>10.799</v>
      </c>
      <c r="H1367" s="91"/>
      <c r="I1367" s="91">
        <v>800</v>
      </c>
      <c r="J1367" s="91">
        <v>8639.2</v>
      </c>
    </row>
    <row r="1368" spans="1:10">
      <c r="A1368" t="s">
        <v>997</v>
      </c>
      <c r="B1368" t="s">
        <v>998</v>
      </c>
      <c r="C1368" t="s">
        <v>20</v>
      </c>
      <c r="D1368" t="s">
        <v>596</v>
      </c>
      <c r="E1368" t="s">
        <v>597</v>
      </c>
      <c r="F1368" t="s">
        <v>46</v>
      </c>
      <c r="G1368" s="91">
        <v>56.13</v>
      </c>
      <c r="H1368" s="91"/>
      <c r="I1368" s="91">
        <v>2200</v>
      </c>
      <c r="J1368" s="91">
        <v>123486</v>
      </c>
    </row>
    <row r="1369" spans="1:10">
      <c r="A1369" t="s">
        <v>997</v>
      </c>
      <c r="B1369" t="s">
        <v>998</v>
      </c>
      <c r="C1369" t="s">
        <v>11</v>
      </c>
      <c r="D1369" t="s">
        <v>598</v>
      </c>
      <c r="E1369" t="s">
        <v>599</v>
      </c>
      <c r="F1369" t="s">
        <v>34</v>
      </c>
      <c r="G1369" s="91">
        <v>601.055</v>
      </c>
      <c r="H1369" s="91"/>
      <c r="I1369" s="91">
        <v>86.110006571778</v>
      </c>
      <c r="J1369" s="91">
        <v>51756.85</v>
      </c>
    </row>
    <row r="1370" spans="1:10">
      <c r="A1370" t="s">
        <v>997</v>
      </c>
      <c r="B1370" t="s">
        <v>998</v>
      </c>
      <c r="C1370" t="s">
        <v>20</v>
      </c>
      <c r="D1370" t="s">
        <v>600</v>
      </c>
      <c r="E1370" t="s">
        <v>601</v>
      </c>
      <c r="F1370" t="s">
        <v>63</v>
      </c>
      <c r="G1370" s="91">
        <v>3005.277</v>
      </c>
      <c r="H1370" s="91"/>
      <c r="I1370" s="91">
        <v>0.0799992812642562</v>
      </c>
      <c r="J1370" s="91">
        <v>240.42</v>
      </c>
    </row>
    <row r="1371" spans="1:10">
      <c r="A1371" t="s">
        <v>999</v>
      </c>
      <c r="B1371" t="s">
        <v>1000</v>
      </c>
      <c r="C1371" t="s">
        <v>11</v>
      </c>
      <c r="D1371" t="s">
        <v>24</v>
      </c>
      <c r="E1371" t="s">
        <v>604</v>
      </c>
      <c r="F1371" t="s">
        <v>34</v>
      </c>
      <c r="G1371" s="91">
        <v>13126.716</v>
      </c>
      <c r="H1371" s="91"/>
      <c r="I1371" s="91">
        <v>50</v>
      </c>
      <c r="J1371" s="91">
        <v>656335.8</v>
      </c>
    </row>
    <row r="1372" spans="1:10">
      <c r="A1372" t="s">
        <v>999</v>
      </c>
      <c r="B1372" t="s">
        <v>1000</v>
      </c>
      <c r="C1372" t="s">
        <v>11</v>
      </c>
      <c r="D1372" t="s">
        <v>24</v>
      </c>
      <c r="E1372" t="s">
        <v>605</v>
      </c>
      <c r="F1372" t="s">
        <v>34</v>
      </c>
      <c r="G1372" s="91">
        <v>2681.788</v>
      </c>
      <c r="H1372" s="91"/>
      <c r="I1372" s="91">
        <v>80</v>
      </c>
      <c r="J1372" s="91">
        <v>214543.04</v>
      </c>
    </row>
    <row r="1373" spans="1:10">
      <c r="A1373" t="s">
        <v>999</v>
      </c>
      <c r="B1373" t="s">
        <v>1000</v>
      </c>
      <c r="C1373" t="s">
        <v>11</v>
      </c>
      <c r="D1373" t="s">
        <v>24</v>
      </c>
      <c r="E1373" t="s">
        <v>606</v>
      </c>
      <c r="F1373" t="s">
        <v>34</v>
      </c>
      <c r="G1373" s="91">
        <v>13126.716</v>
      </c>
      <c r="H1373" s="91"/>
      <c r="I1373" s="91">
        <v>271.999999847639</v>
      </c>
      <c r="J1373" s="91">
        <v>3570466.75</v>
      </c>
    </row>
    <row r="1374" spans="1:10">
      <c r="A1374" t="s">
        <v>999</v>
      </c>
      <c r="B1374" t="s">
        <v>1000</v>
      </c>
      <c r="C1374" t="s">
        <v>20</v>
      </c>
      <c r="D1374" t="s">
        <v>47</v>
      </c>
      <c r="E1374" t="s">
        <v>48</v>
      </c>
      <c r="F1374" t="s">
        <v>49</v>
      </c>
      <c r="G1374" s="91">
        <v>1000</v>
      </c>
      <c r="H1374" s="91"/>
      <c r="I1374" s="91">
        <v>71</v>
      </c>
      <c r="J1374" s="91">
        <v>71000</v>
      </c>
    </row>
    <row r="1375" spans="1:10">
      <c r="A1375" t="s">
        <v>999</v>
      </c>
      <c r="B1375" t="s">
        <v>1000</v>
      </c>
      <c r="C1375" t="s">
        <v>20</v>
      </c>
      <c r="D1375" t="s">
        <v>47</v>
      </c>
      <c r="E1375" t="s">
        <v>50</v>
      </c>
      <c r="F1375" t="s">
        <v>49</v>
      </c>
      <c r="G1375" s="91">
        <v>393.801</v>
      </c>
      <c r="H1375" s="91"/>
      <c r="I1375" s="91">
        <v>60</v>
      </c>
      <c r="J1375" s="91">
        <v>23628.06</v>
      </c>
    </row>
    <row r="1376" spans="1:10">
      <c r="A1376" t="s">
        <v>999</v>
      </c>
      <c r="B1376" t="s">
        <v>1000</v>
      </c>
      <c r="C1376" t="s">
        <v>20</v>
      </c>
      <c r="D1376" t="s">
        <v>61</v>
      </c>
      <c r="E1376" t="s">
        <v>78</v>
      </c>
      <c r="F1376" t="s">
        <v>49</v>
      </c>
      <c r="G1376" s="91">
        <v>367.461</v>
      </c>
      <c r="H1376" s="91"/>
      <c r="I1376" s="91">
        <v>95.0000136068862</v>
      </c>
      <c r="J1376" s="91">
        <v>34908.8</v>
      </c>
    </row>
    <row r="1377" spans="1:10">
      <c r="A1377" t="s">
        <v>999</v>
      </c>
      <c r="B1377" t="s">
        <v>1000</v>
      </c>
      <c r="C1377" t="s">
        <v>20</v>
      </c>
      <c r="D1377" t="s">
        <v>61</v>
      </c>
      <c r="E1377" t="s">
        <v>607</v>
      </c>
      <c r="F1377" t="s">
        <v>23</v>
      </c>
      <c r="G1377" s="91">
        <v>146.984</v>
      </c>
      <c r="H1377" s="91"/>
      <c r="I1377" s="91">
        <v>115.200021771077</v>
      </c>
      <c r="J1377" s="91">
        <v>16932.56</v>
      </c>
    </row>
    <row r="1378" spans="1:10">
      <c r="A1378" t="s">
        <v>999</v>
      </c>
      <c r="B1378" t="s">
        <v>1000</v>
      </c>
      <c r="C1378" t="s">
        <v>20</v>
      </c>
      <c r="D1378" t="s">
        <v>84</v>
      </c>
      <c r="E1378" t="s">
        <v>86</v>
      </c>
      <c r="F1378" t="s">
        <v>49</v>
      </c>
      <c r="G1378" s="91">
        <v>262.534</v>
      </c>
      <c r="H1378" s="91"/>
      <c r="I1378" s="91">
        <v>60</v>
      </c>
      <c r="J1378" s="91">
        <v>15752.04</v>
      </c>
    </row>
    <row r="1379" spans="1:10">
      <c r="A1379" t="s">
        <v>999</v>
      </c>
      <c r="B1379" t="s">
        <v>1000</v>
      </c>
      <c r="C1379" t="s">
        <v>20</v>
      </c>
      <c r="D1379" t="s">
        <v>84</v>
      </c>
      <c r="E1379" t="s">
        <v>87</v>
      </c>
      <c r="F1379" t="s">
        <v>49</v>
      </c>
      <c r="G1379" s="91">
        <v>525.069</v>
      </c>
      <c r="H1379" s="91"/>
      <c r="I1379" s="91">
        <v>60</v>
      </c>
      <c r="J1379" s="91">
        <v>31504.14</v>
      </c>
    </row>
    <row r="1380" spans="1:10">
      <c r="A1380" t="s">
        <v>999</v>
      </c>
      <c r="B1380" t="s">
        <v>1000</v>
      </c>
      <c r="C1380" t="s">
        <v>20</v>
      </c>
      <c r="D1380" t="s">
        <v>84</v>
      </c>
      <c r="E1380" t="s">
        <v>608</v>
      </c>
      <c r="F1380" t="s">
        <v>100</v>
      </c>
      <c r="G1380" s="91">
        <v>17655.433</v>
      </c>
      <c r="H1380" s="91"/>
      <c r="I1380" s="91">
        <v>66.9999999433602</v>
      </c>
      <c r="J1380" s="91">
        <v>1182914.01</v>
      </c>
    </row>
    <row r="1381" spans="1:10">
      <c r="A1381" t="s">
        <v>999</v>
      </c>
      <c r="B1381" t="s">
        <v>1000</v>
      </c>
      <c r="C1381" t="s">
        <v>20</v>
      </c>
      <c r="D1381" t="s">
        <v>84</v>
      </c>
      <c r="E1381" t="s">
        <v>956</v>
      </c>
      <c r="F1381" t="s">
        <v>611</v>
      </c>
      <c r="G1381" s="91">
        <v>438</v>
      </c>
      <c r="H1381" s="91"/>
      <c r="I1381" s="91">
        <v>295</v>
      </c>
      <c r="J1381" s="91">
        <v>129210</v>
      </c>
    </row>
    <row r="1382" spans="1:10">
      <c r="A1382" t="s">
        <v>999</v>
      </c>
      <c r="B1382" t="s">
        <v>1000</v>
      </c>
      <c r="C1382" t="s">
        <v>20</v>
      </c>
      <c r="D1382" t="s">
        <v>84</v>
      </c>
      <c r="E1382" t="s">
        <v>683</v>
      </c>
      <c r="F1382" t="s">
        <v>611</v>
      </c>
      <c r="G1382" s="91">
        <v>1050</v>
      </c>
      <c r="H1382" s="91"/>
      <c r="I1382" s="91">
        <v>295</v>
      </c>
      <c r="J1382" s="91">
        <v>309750</v>
      </c>
    </row>
    <row r="1383" spans="1:10">
      <c r="A1383" t="s">
        <v>999</v>
      </c>
      <c r="B1383" t="s">
        <v>1000</v>
      </c>
      <c r="C1383" t="s">
        <v>20</v>
      </c>
      <c r="D1383" t="s">
        <v>84</v>
      </c>
      <c r="E1383" t="s">
        <v>610</v>
      </c>
      <c r="F1383" t="s">
        <v>611</v>
      </c>
      <c r="G1383" s="91">
        <v>603</v>
      </c>
      <c r="H1383" s="91"/>
      <c r="I1383" s="91">
        <v>395</v>
      </c>
      <c r="J1383" s="91">
        <v>238185</v>
      </c>
    </row>
    <row r="1384" spans="1:10">
      <c r="A1384" t="s">
        <v>999</v>
      </c>
      <c r="B1384" t="s">
        <v>1000</v>
      </c>
      <c r="C1384" t="s">
        <v>20</v>
      </c>
      <c r="D1384" t="s">
        <v>84</v>
      </c>
      <c r="E1384" t="s">
        <v>612</v>
      </c>
      <c r="F1384" t="s">
        <v>611</v>
      </c>
      <c r="G1384" s="91">
        <v>498.815</v>
      </c>
      <c r="H1384" s="91"/>
      <c r="I1384" s="91">
        <v>295.000010023756</v>
      </c>
      <c r="J1384" s="91">
        <v>147150.43</v>
      </c>
    </row>
    <row r="1385" spans="1:10">
      <c r="A1385" t="s">
        <v>999</v>
      </c>
      <c r="B1385" t="s">
        <v>1000</v>
      </c>
      <c r="C1385" t="s">
        <v>20</v>
      </c>
      <c r="D1385" t="s">
        <v>84</v>
      </c>
      <c r="E1385" t="s">
        <v>684</v>
      </c>
      <c r="F1385" t="s">
        <v>23</v>
      </c>
      <c r="G1385" s="91">
        <v>2500</v>
      </c>
      <c r="H1385" s="91"/>
      <c r="I1385" s="91">
        <v>39</v>
      </c>
      <c r="J1385" s="91">
        <v>97500</v>
      </c>
    </row>
    <row r="1386" spans="1:10">
      <c r="A1386" t="s">
        <v>999</v>
      </c>
      <c r="B1386" t="s">
        <v>1000</v>
      </c>
      <c r="C1386" t="s">
        <v>20</v>
      </c>
      <c r="D1386" t="s">
        <v>624</v>
      </c>
      <c r="E1386" t="s">
        <v>957</v>
      </c>
      <c r="F1386" t="s">
        <v>23</v>
      </c>
      <c r="G1386" s="91">
        <v>1000</v>
      </c>
      <c r="H1386" s="91"/>
      <c r="I1386" s="91">
        <v>2</v>
      </c>
      <c r="J1386" s="91">
        <v>2000</v>
      </c>
    </row>
    <row r="1387" spans="1:10">
      <c r="A1387" t="s">
        <v>999</v>
      </c>
      <c r="B1387" t="s">
        <v>1000</v>
      </c>
      <c r="C1387" t="s">
        <v>20</v>
      </c>
      <c r="D1387" t="s">
        <v>624</v>
      </c>
      <c r="E1387" t="s">
        <v>958</v>
      </c>
      <c r="F1387" t="s">
        <v>23</v>
      </c>
      <c r="G1387" s="91">
        <v>4000</v>
      </c>
      <c r="H1387" s="91"/>
      <c r="I1387" s="91">
        <v>2</v>
      </c>
      <c r="J1387" s="91">
        <v>8000</v>
      </c>
    </row>
    <row r="1388" spans="1:10">
      <c r="A1388" t="s">
        <v>999</v>
      </c>
      <c r="B1388" t="s">
        <v>1000</v>
      </c>
      <c r="C1388" t="s">
        <v>20</v>
      </c>
      <c r="D1388" t="s">
        <v>624</v>
      </c>
      <c r="E1388" t="s">
        <v>959</v>
      </c>
      <c r="F1388" t="s">
        <v>23</v>
      </c>
      <c r="G1388" s="91">
        <v>5000</v>
      </c>
      <c r="H1388" s="91"/>
      <c r="I1388" s="91">
        <v>3</v>
      </c>
      <c r="J1388" s="91">
        <v>15000</v>
      </c>
    </row>
    <row r="1389" spans="1:10">
      <c r="A1389" t="s">
        <v>999</v>
      </c>
      <c r="B1389" t="s">
        <v>1000</v>
      </c>
      <c r="C1389" t="s">
        <v>20</v>
      </c>
      <c r="D1389" t="s">
        <v>624</v>
      </c>
      <c r="E1389" t="s">
        <v>629</v>
      </c>
      <c r="F1389" t="s">
        <v>23</v>
      </c>
      <c r="G1389" s="91">
        <v>5000</v>
      </c>
      <c r="H1389" s="91"/>
      <c r="I1389" s="91">
        <v>3</v>
      </c>
      <c r="J1389" s="91">
        <v>15000</v>
      </c>
    </row>
    <row r="1390" spans="1:10">
      <c r="A1390" t="s">
        <v>999</v>
      </c>
      <c r="B1390" t="s">
        <v>1000</v>
      </c>
      <c r="C1390" t="s">
        <v>20</v>
      </c>
      <c r="D1390" t="s">
        <v>337</v>
      </c>
      <c r="E1390" t="s">
        <v>960</v>
      </c>
      <c r="F1390" t="s">
        <v>23</v>
      </c>
      <c r="G1390" s="91">
        <v>1000</v>
      </c>
      <c r="H1390" s="91"/>
      <c r="I1390" s="91">
        <v>1000</v>
      </c>
      <c r="J1390" s="91">
        <v>1000000</v>
      </c>
    </row>
    <row r="1391" spans="1:10">
      <c r="A1391" t="s">
        <v>999</v>
      </c>
      <c r="B1391" t="s">
        <v>1000</v>
      </c>
      <c r="C1391" t="s">
        <v>20</v>
      </c>
      <c r="D1391" t="s">
        <v>337</v>
      </c>
      <c r="E1391" t="s">
        <v>961</v>
      </c>
      <c r="F1391" t="s">
        <v>23</v>
      </c>
      <c r="G1391" s="91">
        <v>1000</v>
      </c>
      <c r="H1391" s="91"/>
      <c r="I1391" s="91">
        <v>1000</v>
      </c>
      <c r="J1391" s="91">
        <v>1000000</v>
      </c>
    </row>
    <row r="1392" spans="1:10">
      <c r="A1392" t="s">
        <v>999</v>
      </c>
      <c r="B1392" t="s">
        <v>1000</v>
      </c>
      <c r="C1392" t="s">
        <v>20</v>
      </c>
      <c r="D1392" t="s">
        <v>337</v>
      </c>
      <c r="E1392" t="s">
        <v>962</v>
      </c>
      <c r="F1392" t="s">
        <v>42</v>
      </c>
      <c r="G1392" s="91">
        <v>2000</v>
      </c>
      <c r="H1392" s="91"/>
      <c r="I1392" s="91">
        <v>74</v>
      </c>
      <c r="J1392" s="91">
        <v>148000</v>
      </c>
    </row>
    <row r="1393" spans="1:10">
      <c r="A1393" t="s">
        <v>999</v>
      </c>
      <c r="B1393" t="s">
        <v>1000</v>
      </c>
      <c r="C1393" t="s">
        <v>20</v>
      </c>
      <c r="D1393" t="s">
        <v>337</v>
      </c>
      <c r="E1393" t="s">
        <v>963</v>
      </c>
      <c r="F1393" t="s">
        <v>23</v>
      </c>
      <c r="G1393" s="91">
        <v>300</v>
      </c>
      <c r="H1393" s="91"/>
      <c r="I1393" s="91">
        <v>70</v>
      </c>
      <c r="J1393" s="91">
        <v>21000</v>
      </c>
    </row>
    <row r="1394" spans="1:10">
      <c r="A1394" t="s">
        <v>999</v>
      </c>
      <c r="B1394" t="s">
        <v>1000</v>
      </c>
      <c r="C1394" t="s">
        <v>20</v>
      </c>
      <c r="D1394" t="s">
        <v>337</v>
      </c>
      <c r="E1394" t="s">
        <v>964</v>
      </c>
      <c r="F1394" t="s">
        <v>23</v>
      </c>
      <c r="G1394" s="91">
        <v>2000</v>
      </c>
      <c r="H1394" s="91"/>
      <c r="I1394" s="91">
        <v>25</v>
      </c>
      <c r="J1394" s="91">
        <v>50000</v>
      </c>
    </row>
    <row r="1395" spans="1:10">
      <c r="A1395" t="s">
        <v>999</v>
      </c>
      <c r="B1395" t="s">
        <v>1000</v>
      </c>
      <c r="C1395" t="s">
        <v>20</v>
      </c>
      <c r="D1395" t="s">
        <v>114</v>
      </c>
      <c r="E1395" t="s">
        <v>965</v>
      </c>
      <c r="F1395" t="s">
        <v>49</v>
      </c>
      <c r="G1395" s="91">
        <v>2080</v>
      </c>
      <c r="H1395" s="91"/>
      <c r="I1395" s="91">
        <v>54</v>
      </c>
      <c r="J1395" s="91">
        <v>112320</v>
      </c>
    </row>
    <row r="1396" spans="1:10">
      <c r="A1396" t="s">
        <v>999</v>
      </c>
      <c r="B1396" t="s">
        <v>1000</v>
      </c>
      <c r="C1396" t="s">
        <v>20</v>
      </c>
      <c r="D1396" t="s">
        <v>114</v>
      </c>
      <c r="E1396" t="s">
        <v>121</v>
      </c>
      <c r="F1396" t="s">
        <v>49</v>
      </c>
      <c r="G1396" s="91">
        <v>6000</v>
      </c>
      <c r="H1396" s="91"/>
      <c r="I1396" s="91">
        <v>54</v>
      </c>
      <c r="J1396" s="91">
        <v>324000</v>
      </c>
    </row>
    <row r="1397" spans="1:10">
      <c r="A1397" t="s">
        <v>999</v>
      </c>
      <c r="B1397" t="s">
        <v>1000</v>
      </c>
      <c r="C1397" t="s">
        <v>11</v>
      </c>
      <c r="D1397" t="s">
        <v>613</v>
      </c>
      <c r="E1397" t="s">
        <v>614</v>
      </c>
      <c r="F1397" t="s">
        <v>108</v>
      </c>
      <c r="G1397" s="91">
        <v>1365.178</v>
      </c>
      <c r="H1397" s="91"/>
      <c r="I1397" s="91">
        <v>40</v>
      </c>
      <c r="J1397" s="91">
        <v>54607.12</v>
      </c>
    </row>
    <row r="1398" spans="1:10">
      <c r="A1398" t="s">
        <v>999</v>
      </c>
      <c r="B1398" t="s">
        <v>1000</v>
      </c>
      <c r="C1398" t="s">
        <v>11</v>
      </c>
      <c r="D1398" t="s">
        <v>613</v>
      </c>
      <c r="E1398" t="s">
        <v>615</v>
      </c>
      <c r="F1398" t="s">
        <v>108</v>
      </c>
      <c r="G1398" s="91">
        <v>1365.178</v>
      </c>
      <c r="H1398" s="91"/>
      <c r="I1398" s="91">
        <v>30</v>
      </c>
      <c r="J1398" s="91">
        <v>40955.34</v>
      </c>
    </row>
    <row r="1399" spans="1:10">
      <c r="A1399" t="s">
        <v>1001</v>
      </c>
      <c r="B1399" t="s">
        <v>1002</v>
      </c>
      <c r="C1399" t="s">
        <v>20</v>
      </c>
      <c r="D1399" t="s">
        <v>47</v>
      </c>
      <c r="E1399" t="s">
        <v>48</v>
      </c>
      <c r="F1399" t="s">
        <v>49</v>
      </c>
      <c r="G1399" s="91">
        <v>4613.016</v>
      </c>
      <c r="H1399" s="91"/>
      <c r="I1399" s="91">
        <v>75</v>
      </c>
      <c r="J1399" s="91">
        <v>345976.2</v>
      </c>
    </row>
    <row r="1400" spans="1:10">
      <c r="A1400" t="s">
        <v>1001</v>
      </c>
      <c r="B1400" t="s">
        <v>1002</v>
      </c>
      <c r="C1400" t="s">
        <v>20</v>
      </c>
      <c r="D1400" t="s">
        <v>624</v>
      </c>
      <c r="E1400" t="s">
        <v>625</v>
      </c>
      <c r="F1400" t="s">
        <v>23</v>
      </c>
      <c r="G1400" s="91">
        <v>11532.54</v>
      </c>
      <c r="H1400" s="91"/>
      <c r="I1400" s="91">
        <v>0.799999826577666</v>
      </c>
      <c r="J1400" s="91">
        <v>9226.03</v>
      </c>
    </row>
    <row r="1401" spans="1:10">
      <c r="A1401" t="s">
        <v>1001</v>
      </c>
      <c r="B1401" t="s">
        <v>1002</v>
      </c>
      <c r="C1401" t="s">
        <v>20</v>
      </c>
      <c r="D1401" t="s">
        <v>624</v>
      </c>
      <c r="E1401" t="s">
        <v>626</v>
      </c>
      <c r="F1401" t="s">
        <v>23</v>
      </c>
      <c r="G1401" s="91">
        <v>11532.54</v>
      </c>
      <c r="H1401" s="91"/>
      <c r="I1401" s="91">
        <v>0.900000346844667</v>
      </c>
      <c r="J1401" s="91">
        <v>10379.29</v>
      </c>
    </row>
    <row r="1402" spans="1:10">
      <c r="A1402" t="s">
        <v>1001</v>
      </c>
      <c r="B1402" t="s">
        <v>1002</v>
      </c>
      <c r="C1402" t="s">
        <v>20</v>
      </c>
      <c r="D1402" t="s">
        <v>624</v>
      </c>
      <c r="E1402" t="s">
        <v>627</v>
      </c>
      <c r="F1402" t="s">
        <v>23</v>
      </c>
      <c r="G1402" s="91">
        <v>11532.54</v>
      </c>
      <c r="H1402" s="91"/>
      <c r="I1402" s="91">
        <v>3.09999965315533</v>
      </c>
      <c r="J1402" s="91">
        <v>35750.87</v>
      </c>
    </row>
    <row r="1403" spans="1:10">
      <c r="A1403" t="s">
        <v>1001</v>
      </c>
      <c r="B1403" t="s">
        <v>1002</v>
      </c>
      <c r="C1403" t="s">
        <v>20</v>
      </c>
      <c r="D1403" t="s">
        <v>624</v>
      </c>
      <c r="E1403" t="s">
        <v>628</v>
      </c>
      <c r="F1403" t="s">
        <v>23</v>
      </c>
      <c r="G1403" s="91">
        <v>14415.675</v>
      </c>
      <c r="H1403" s="91"/>
      <c r="I1403" s="91">
        <v>3.09999982657767</v>
      </c>
      <c r="J1403" s="91">
        <v>44688.59</v>
      </c>
    </row>
    <row r="1404" spans="1:10">
      <c r="A1404" t="s">
        <v>1001</v>
      </c>
      <c r="B1404" t="s">
        <v>1002</v>
      </c>
      <c r="C1404" t="s">
        <v>20</v>
      </c>
      <c r="D1404" t="s">
        <v>624</v>
      </c>
      <c r="E1404" t="s">
        <v>629</v>
      </c>
      <c r="F1404" t="s">
        <v>23</v>
      </c>
      <c r="G1404" s="91">
        <v>5766.27</v>
      </c>
      <c r="H1404" s="91"/>
      <c r="I1404" s="91">
        <v>6.50000086711167</v>
      </c>
      <c r="J1404" s="91">
        <v>37480.76</v>
      </c>
    </row>
    <row r="1405" spans="1:10">
      <c r="A1405" t="s">
        <v>1001</v>
      </c>
      <c r="B1405" t="s">
        <v>1002</v>
      </c>
      <c r="C1405" t="s">
        <v>11</v>
      </c>
      <c r="D1405" t="s">
        <v>630</v>
      </c>
      <c r="E1405" t="s">
        <v>631</v>
      </c>
      <c r="F1405" t="s">
        <v>17</v>
      </c>
      <c r="G1405" s="91">
        <v>384.418</v>
      </c>
      <c r="H1405" s="91"/>
      <c r="I1405" s="91">
        <v>9380</v>
      </c>
      <c r="J1405" s="91">
        <v>3605840.84</v>
      </c>
    </row>
    <row r="1406" spans="1:10">
      <c r="A1406" t="s">
        <v>1003</v>
      </c>
      <c r="B1406" t="s">
        <v>1004</v>
      </c>
      <c r="C1406" t="s">
        <v>11</v>
      </c>
      <c r="D1406" t="s">
        <v>634</v>
      </c>
      <c r="E1406" t="s">
        <v>635</v>
      </c>
      <c r="F1406" t="s">
        <v>23</v>
      </c>
      <c r="G1406" s="91">
        <v>1281.332</v>
      </c>
      <c r="H1406" s="91"/>
      <c r="I1406" s="91">
        <v>15.9999984391243</v>
      </c>
      <c r="J1406" s="91">
        <v>20501.31</v>
      </c>
    </row>
    <row r="1407" spans="1:10">
      <c r="A1407" t="s">
        <v>1003</v>
      </c>
      <c r="B1407" t="s">
        <v>1004</v>
      </c>
      <c r="C1407" t="s">
        <v>20</v>
      </c>
      <c r="D1407" t="s">
        <v>636</v>
      </c>
      <c r="E1407" t="s">
        <v>637</v>
      </c>
      <c r="F1407" t="s">
        <v>23</v>
      </c>
      <c r="G1407" s="91">
        <v>640.666</v>
      </c>
      <c r="H1407" s="91"/>
      <c r="I1407" s="91">
        <v>40</v>
      </c>
      <c r="J1407" s="91">
        <v>25626.64</v>
      </c>
    </row>
    <row r="1408" spans="1:10">
      <c r="A1408" t="s">
        <v>1005</v>
      </c>
      <c r="B1408" t="s">
        <v>1006</v>
      </c>
      <c r="C1408" t="s">
        <v>11</v>
      </c>
      <c r="D1408" t="s">
        <v>634</v>
      </c>
      <c r="E1408" t="s">
        <v>640</v>
      </c>
      <c r="F1408" t="s">
        <v>23</v>
      </c>
      <c r="G1408" s="91">
        <v>640.666</v>
      </c>
      <c r="H1408" s="91"/>
      <c r="I1408" s="91">
        <v>16.9999968782486</v>
      </c>
      <c r="J1408" s="91">
        <v>10891.32</v>
      </c>
    </row>
    <row r="1409" spans="1:10">
      <c r="A1409" t="s">
        <v>1005</v>
      </c>
      <c r="B1409" t="s">
        <v>1006</v>
      </c>
      <c r="C1409" t="s">
        <v>20</v>
      </c>
      <c r="D1409" t="s">
        <v>636</v>
      </c>
      <c r="E1409" t="s">
        <v>641</v>
      </c>
      <c r="F1409" t="s">
        <v>23</v>
      </c>
      <c r="G1409" s="91">
        <v>320.333</v>
      </c>
      <c r="H1409" s="91"/>
      <c r="I1409" s="91">
        <v>59.0000093652543</v>
      </c>
      <c r="J1409" s="91">
        <v>18899.65</v>
      </c>
    </row>
    <row r="1410" spans="1:10">
      <c r="A1410" t="s">
        <v>1007</v>
      </c>
      <c r="B1410" t="s">
        <v>1008</v>
      </c>
      <c r="C1410" t="s">
        <v>11</v>
      </c>
      <c r="D1410" t="s">
        <v>634</v>
      </c>
      <c r="E1410" t="s">
        <v>650</v>
      </c>
      <c r="F1410" t="s">
        <v>23</v>
      </c>
      <c r="G1410" s="91">
        <v>256.444</v>
      </c>
      <c r="H1410" s="91"/>
      <c r="I1410" s="91">
        <v>17.9999922010263</v>
      </c>
      <c r="J1410" s="91">
        <v>4615.99</v>
      </c>
    </row>
    <row r="1411" spans="1:10">
      <c r="A1411" t="s">
        <v>1007</v>
      </c>
      <c r="B1411" t="s">
        <v>1008</v>
      </c>
      <c r="C1411" t="s">
        <v>20</v>
      </c>
      <c r="D1411" t="s">
        <v>636</v>
      </c>
      <c r="E1411" t="s">
        <v>644</v>
      </c>
      <c r="F1411" t="s">
        <v>23</v>
      </c>
      <c r="G1411" s="91">
        <v>128.222</v>
      </c>
      <c r="H1411" s="91"/>
      <c r="I1411" s="91">
        <v>103.000031195895</v>
      </c>
      <c r="J1411" s="91">
        <v>13206.87</v>
      </c>
    </row>
    <row r="1412" spans="1:10">
      <c r="A1412" t="s">
        <v>1009</v>
      </c>
      <c r="B1412" t="s">
        <v>1010</v>
      </c>
      <c r="C1412" t="s">
        <v>11</v>
      </c>
      <c r="D1412" t="s">
        <v>634</v>
      </c>
      <c r="E1412" t="s">
        <v>635</v>
      </c>
      <c r="F1412" t="s">
        <v>23</v>
      </c>
      <c r="G1412" s="91">
        <v>128.222</v>
      </c>
      <c r="H1412" s="91"/>
      <c r="I1412" s="91">
        <v>15.9999844020527</v>
      </c>
      <c r="J1412" s="91">
        <v>2051.55</v>
      </c>
    </row>
    <row r="1413" spans="1:10">
      <c r="A1413" t="s">
        <v>1009</v>
      </c>
      <c r="B1413" t="s">
        <v>1010</v>
      </c>
      <c r="C1413" t="s">
        <v>11</v>
      </c>
      <c r="D1413" t="s">
        <v>634</v>
      </c>
      <c r="E1413" t="s">
        <v>640</v>
      </c>
      <c r="F1413" t="s">
        <v>23</v>
      </c>
      <c r="G1413" s="91">
        <v>128.222</v>
      </c>
      <c r="H1413" s="91"/>
      <c r="I1413" s="91">
        <v>16.9999688041054</v>
      </c>
      <c r="J1413" s="91">
        <v>2179.77</v>
      </c>
    </row>
    <row r="1414" spans="1:10">
      <c r="A1414" t="s">
        <v>1009</v>
      </c>
      <c r="B1414" t="s">
        <v>1010</v>
      </c>
      <c r="C1414" t="s">
        <v>20</v>
      </c>
      <c r="D1414" t="s">
        <v>636</v>
      </c>
      <c r="E1414" t="s">
        <v>647</v>
      </c>
      <c r="F1414" t="s">
        <v>23</v>
      </c>
      <c r="G1414" s="91">
        <v>64.111</v>
      </c>
      <c r="H1414" s="91"/>
      <c r="I1414" s="91">
        <v>62.9999532061581</v>
      </c>
      <c r="J1414" s="91">
        <v>4038.99</v>
      </c>
    </row>
    <row r="1415" spans="1:10">
      <c r="A1415" t="s">
        <v>1011</v>
      </c>
      <c r="B1415" t="s">
        <v>1012</v>
      </c>
      <c r="C1415" t="s">
        <v>11</v>
      </c>
      <c r="D1415" t="s">
        <v>634</v>
      </c>
      <c r="E1415" t="s">
        <v>640</v>
      </c>
      <c r="F1415" t="s">
        <v>23</v>
      </c>
      <c r="G1415" s="91">
        <v>128.222</v>
      </c>
      <c r="H1415" s="91"/>
      <c r="I1415" s="91">
        <v>16.9999688041054</v>
      </c>
      <c r="J1415" s="91">
        <v>2179.77</v>
      </c>
    </row>
    <row r="1416" spans="1:10">
      <c r="A1416" t="s">
        <v>1011</v>
      </c>
      <c r="B1416" t="s">
        <v>1012</v>
      </c>
      <c r="C1416" t="s">
        <v>11</v>
      </c>
      <c r="D1416" t="s">
        <v>634</v>
      </c>
      <c r="E1416" t="s">
        <v>650</v>
      </c>
      <c r="F1416" t="s">
        <v>23</v>
      </c>
      <c r="G1416" s="91">
        <v>128.222</v>
      </c>
      <c r="H1416" s="91"/>
      <c r="I1416" s="91">
        <v>18.0000311958946</v>
      </c>
      <c r="J1416" s="91">
        <v>2308</v>
      </c>
    </row>
    <row r="1417" spans="1:10">
      <c r="A1417" t="s">
        <v>1011</v>
      </c>
      <c r="B1417" t="s">
        <v>1012</v>
      </c>
      <c r="C1417" t="s">
        <v>20</v>
      </c>
      <c r="D1417" t="s">
        <v>636</v>
      </c>
      <c r="E1417" t="s">
        <v>651</v>
      </c>
      <c r="F1417" t="s">
        <v>23</v>
      </c>
      <c r="G1417" s="91">
        <v>64.111</v>
      </c>
      <c r="H1417" s="91"/>
      <c r="I1417" s="91">
        <v>108.000031195895</v>
      </c>
      <c r="J1417" s="91">
        <v>6923.99</v>
      </c>
    </row>
    <row r="1418" spans="1:10">
      <c r="A1418" t="s">
        <v>1013</v>
      </c>
      <c r="B1418" t="s">
        <v>1014</v>
      </c>
      <c r="C1418" t="s">
        <v>11</v>
      </c>
      <c r="D1418" t="s">
        <v>634</v>
      </c>
      <c r="E1418" t="s">
        <v>635</v>
      </c>
      <c r="F1418" t="s">
        <v>23</v>
      </c>
      <c r="G1418" s="91">
        <v>128.222</v>
      </c>
      <c r="H1418" s="91"/>
      <c r="I1418" s="91">
        <v>15.9999844020527</v>
      </c>
      <c r="J1418" s="91">
        <v>2051.55</v>
      </c>
    </row>
    <row r="1419" spans="1:10">
      <c r="A1419" t="s">
        <v>1013</v>
      </c>
      <c r="B1419" t="s">
        <v>1014</v>
      </c>
      <c r="C1419" t="s">
        <v>11</v>
      </c>
      <c r="D1419" t="s">
        <v>634</v>
      </c>
      <c r="E1419" t="s">
        <v>650</v>
      </c>
      <c r="F1419" t="s">
        <v>23</v>
      </c>
      <c r="G1419" s="91">
        <v>128.222</v>
      </c>
      <c r="H1419" s="91"/>
      <c r="I1419" s="91">
        <v>18.0000311958946</v>
      </c>
      <c r="J1419" s="91">
        <v>2308</v>
      </c>
    </row>
    <row r="1420" spans="1:10">
      <c r="A1420" t="s">
        <v>1013</v>
      </c>
      <c r="B1420" t="s">
        <v>1014</v>
      </c>
      <c r="C1420" t="s">
        <v>20</v>
      </c>
      <c r="D1420" t="s">
        <v>636</v>
      </c>
      <c r="E1420" t="s">
        <v>654</v>
      </c>
      <c r="F1420" t="s">
        <v>23</v>
      </c>
      <c r="G1420" s="91">
        <v>64.111</v>
      </c>
      <c r="H1420" s="91"/>
      <c r="I1420" s="91">
        <v>109.000015597947</v>
      </c>
      <c r="J1420" s="91">
        <v>6988.1</v>
      </c>
    </row>
    <row r="1421" spans="1:10">
      <c r="A1421" t="s">
        <v>1015</v>
      </c>
      <c r="B1421" t="s">
        <v>1016</v>
      </c>
      <c r="C1421" t="s">
        <v>11</v>
      </c>
      <c r="D1421" t="s">
        <v>657</v>
      </c>
      <c r="E1421" t="s">
        <v>658</v>
      </c>
      <c r="F1421" t="s">
        <v>34</v>
      </c>
      <c r="G1421" s="91">
        <v>691.347</v>
      </c>
      <c r="H1421" s="91"/>
      <c r="I1421" s="91">
        <v>45.0000072322582</v>
      </c>
      <c r="J1421" s="91">
        <v>31110.62</v>
      </c>
    </row>
    <row r="1422" spans="1:10">
      <c r="A1422" t="s">
        <v>1017</v>
      </c>
      <c r="B1422" t="s">
        <v>1018</v>
      </c>
      <c r="C1422" t="s">
        <v>11</v>
      </c>
      <c r="D1422" t="s">
        <v>12</v>
      </c>
      <c r="E1422" t="s">
        <v>13</v>
      </c>
      <c r="F1422" t="s">
        <v>14</v>
      </c>
      <c r="G1422" s="91">
        <v>1.554</v>
      </c>
      <c r="H1422" s="91"/>
      <c r="I1422" s="91">
        <v>450</v>
      </c>
      <c r="J1422" s="91">
        <v>699.3</v>
      </c>
    </row>
    <row r="1423" spans="1:10">
      <c r="A1423" t="s">
        <v>1017</v>
      </c>
      <c r="B1423" t="s">
        <v>1018</v>
      </c>
      <c r="C1423" t="s">
        <v>11</v>
      </c>
      <c r="D1423" t="s">
        <v>12</v>
      </c>
      <c r="E1423" t="s">
        <v>15</v>
      </c>
      <c r="F1423" t="s">
        <v>14</v>
      </c>
      <c r="G1423" s="91">
        <v>0.243</v>
      </c>
      <c r="H1423" s="91"/>
      <c r="I1423" s="91">
        <v>600</v>
      </c>
      <c r="J1423" s="91">
        <v>145.8</v>
      </c>
    </row>
    <row r="1424" spans="1:10">
      <c r="A1424" t="s">
        <v>1017</v>
      </c>
      <c r="B1424" t="s">
        <v>1018</v>
      </c>
      <c r="C1424" t="s">
        <v>11</v>
      </c>
      <c r="D1424" t="s">
        <v>12</v>
      </c>
      <c r="E1424" t="s">
        <v>28</v>
      </c>
      <c r="F1424" t="s">
        <v>14</v>
      </c>
      <c r="G1424" s="91">
        <v>0.073</v>
      </c>
      <c r="H1424" s="91"/>
      <c r="I1424" s="91">
        <v>600</v>
      </c>
      <c r="J1424" s="91">
        <v>43.8</v>
      </c>
    </row>
    <row r="1425" spans="1:10">
      <c r="A1425" t="s">
        <v>1017</v>
      </c>
      <c r="B1425" t="s">
        <v>1018</v>
      </c>
      <c r="C1425" t="s">
        <v>20</v>
      </c>
      <c r="D1425" t="s">
        <v>106</v>
      </c>
      <c r="E1425" t="s">
        <v>107</v>
      </c>
      <c r="F1425" t="s">
        <v>108</v>
      </c>
      <c r="G1425" s="91">
        <v>2.972</v>
      </c>
      <c r="H1425" s="91"/>
      <c r="I1425" s="91">
        <v>3361.99865410498</v>
      </c>
      <c r="J1425" s="91">
        <v>9991.86</v>
      </c>
    </row>
    <row r="1426" spans="1:10">
      <c r="A1426" t="s">
        <v>1017</v>
      </c>
      <c r="B1426" t="s">
        <v>1018</v>
      </c>
      <c r="C1426" t="s">
        <v>20</v>
      </c>
      <c r="D1426" t="s">
        <v>596</v>
      </c>
      <c r="E1426" t="s">
        <v>597</v>
      </c>
      <c r="F1426" t="s">
        <v>46</v>
      </c>
      <c r="G1426" s="91">
        <v>0.685</v>
      </c>
      <c r="H1426" s="91"/>
      <c r="I1426" s="91">
        <v>2200</v>
      </c>
      <c r="J1426" s="91">
        <v>1507</v>
      </c>
    </row>
    <row r="1427" spans="1:10">
      <c r="A1427" t="s">
        <v>1019</v>
      </c>
      <c r="B1427" t="s">
        <v>1020</v>
      </c>
      <c r="C1427" t="s">
        <v>11</v>
      </c>
      <c r="D1427" t="s">
        <v>12</v>
      </c>
      <c r="E1427" t="s">
        <v>13</v>
      </c>
      <c r="F1427" t="s">
        <v>14</v>
      </c>
      <c r="G1427" s="91">
        <v>48</v>
      </c>
      <c r="H1427" s="91"/>
      <c r="I1427" s="91">
        <v>450</v>
      </c>
      <c r="J1427" s="91">
        <v>21600</v>
      </c>
    </row>
    <row r="1428" spans="1:10">
      <c r="A1428" t="s">
        <v>1019</v>
      </c>
      <c r="B1428" t="s">
        <v>1020</v>
      </c>
      <c r="C1428" t="s">
        <v>11</v>
      </c>
      <c r="D1428" t="s">
        <v>12</v>
      </c>
      <c r="E1428" t="s">
        <v>15</v>
      </c>
      <c r="F1428" t="s">
        <v>14</v>
      </c>
      <c r="G1428" s="91">
        <v>7.5</v>
      </c>
      <c r="H1428" s="91"/>
      <c r="I1428" s="91">
        <v>600</v>
      </c>
      <c r="J1428" s="91">
        <v>4500</v>
      </c>
    </row>
    <row r="1429" spans="1:10">
      <c r="A1429" t="s">
        <v>1019</v>
      </c>
      <c r="B1429" t="s">
        <v>1020</v>
      </c>
      <c r="C1429" t="s">
        <v>11</v>
      </c>
      <c r="D1429" t="s">
        <v>12</v>
      </c>
      <c r="E1429" t="s">
        <v>28</v>
      </c>
      <c r="F1429" t="s">
        <v>14</v>
      </c>
      <c r="G1429" s="91">
        <v>2.25</v>
      </c>
      <c r="H1429" s="91"/>
      <c r="I1429" s="91">
        <v>600</v>
      </c>
      <c r="J1429" s="91">
        <v>1350</v>
      </c>
    </row>
    <row r="1430" spans="1:10">
      <c r="A1430" t="s">
        <v>1019</v>
      </c>
      <c r="B1430" t="s">
        <v>1020</v>
      </c>
      <c r="C1430" t="s">
        <v>20</v>
      </c>
      <c r="D1430" t="s">
        <v>106</v>
      </c>
      <c r="E1430" t="s">
        <v>107</v>
      </c>
      <c r="F1430" t="s">
        <v>108</v>
      </c>
      <c r="G1430" s="91">
        <v>153</v>
      </c>
      <c r="H1430" s="91"/>
      <c r="I1430" s="91">
        <v>3362</v>
      </c>
      <c r="J1430" s="91">
        <v>514386</v>
      </c>
    </row>
    <row r="1431" spans="1:10">
      <c r="A1431" t="s">
        <v>1021</v>
      </c>
      <c r="B1431" t="s">
        <v>1022</v>
      </c>
      <c r="C1431" t="s">
        <v>11</v>
      </c>
      <c r="D1431" t="s">
        <v>665</v>
      </c>
      <c r="E1431" t="s">
        <v>666</v>
      </c>
      <c r="F1431" t="s">
        <v>34</v>
      </c>
      <c r="G1431" s="91">
        <v>11987.823</v>
      </c>
      <c r="H1431" s="91"/>
      <c r="I1431" s="91">
        <v>33.3099996554837</v>
      </c>
      <c r="J1431" s="91">
        <v>399314.38</v>
      </c>
    </row>
    <row r="1432" spans="1:10">
      <c r="A1432" t="s">
        <v>1021</v>
      </c>
      <c r="B1432" t="s">
        <v>1022</v>
      </c>
      <c r="C1432" t="s">
        <v>11</v>
      </c>
      <c r="D1432" t="s">
        <v>12</v>
      </c>
      <c r="E1432" t="s">
        <v>13</v>
      </c>
      <c r="F1432" t="s">
        <v>14</v>
      </c>
      <c r="G1432" s="91">
        <v>608.905</v>
      </c>
      <c r="H1432" s="91"/>
      <c r="I1432" s="91">
        <v>450</v>
      </c>
      <c r="J1432" s="91">
        <v>274007.25</v>
      </c>
    </row>
    <row r="1433" spans="1:10">
      <c r="A1433" t="s">
        <v>1021</v>
      </c>
      <c r="B1433" t="s">
        <v>1022</v>
      </c>
      <c r="C1433" t="s">
        <v>11</v>
      </c>
      <c r="D1433" t="s">
        <v>12</v>
      </c>
      <c r="E1433" t="s">
        <v>15</v>
      </c>
      <c r="F1433" t="s">
        <v>14</v>
      </c>
      <c r="G1433" s="91">
        <v>95.141</v>
      </c>
      <c r="H1433" s="91"/>
      <c r="I1433" s="91">
        <v>600</v>
      </c>
      <c r="J1433" s="91">
        <v>57084.6</v>
      </c>
    </row>
    <row r="1434" spans="1:10">
      <c r="A1434" t="s">
        <v>1021</v>
      </c>
      <c r="B1434" t="s">
        <v>1022</v>
      </c>
      <c r="C1434" t="s">
        <v>11</v>
      </c>
      <c r="D1434" t="s">
        <v>12</v>
      </c>
      <c r="E1434" t="s">
        <v>28</v>
      </c>
      <c r="F1434" t="s">
        <v>14</v>
      </c>
      <c r="G1434" s="91">
        <v>28.542</v>
      </c>
      <c r="H1434" s="91"/>
      <c r="I1434" s="91">
        <v>600</v>
      </c>
      <c r="J1434" s="91">
        <v>17125.2</v>
      </c>
    </row>
    <row r="1435" spans="1:10">
      <c r="A1435" t="s">
        <v>1021</v>
      </c>
      <c r="B1435" t="s">
        <v>1022</v>
      </c>
      <c r="C1435" t="s">
        <v>20</v>
      </c>
      <c r="D1435" t="s">
        <v>59</v>
      </c>
      <c r="E1435" t="s">
        <v>667</v>
      </c>
      <c r="F1435" t="s">
        <v>49</v>
      </c>
      <c r="G1435" s="91">
        <v>1807.688</v>
      </c>
      <c r="H1435" s="91"/>
      <c r="I1435" s="91">
        <v>42.0000022127712</v>
      </c>
      <c r="J1435" s="91">
        <v>75922.9</v>
      </c>
    </row>
    <row r="1436" spans="1:10">
      <c r="A1436" t="s">
        <v>1021</v>
      </c>
      <c r="B1436" t="s">
        <v>1022</v>
      </c>
      <c r="C1436" t="s">
        <v>20</v>
      </c>
      <c r="D1436" t="s">
        <v>59</v>
      </c>
      <c r="E1436" t="s">
        <v>668</v>
      </c>
      <c r="F1436" t="s">
        <v>49</v>
      </c>
      <c r="G1436" s="91">
        <v>2435.621</v>
      </c>
      <c r="H1436" s="91"/>
      <c r="I1436" s="91">
        <v>15.0000020528645</v>
      </c>
      <c r="J1436" s="91">
        <v>36534.32</v>
      </c>
    </row>
    <row r="1437" spans="1:10">
      <c r="A1437" t="s">
        <v>1021</v>
      </c>
      <c r="B1437" t="s">
        <v>1022</v>
      </c>
      <c r="C1437" t="s">
        <v>20</v>
      </c>
      <c r="D1437" t="s">
        <v>59</v>
      </c>
      <c r="E1437" t="s">
        <v>60</v>
      </c>
      <c r="F1437" t="s">
        <v>49</v>
      </c>
      <c r="G1437" s="91">
        <v>534.695</v>
      </c>
      <c r="H1437" s="91"/>
      <c r="I1437" s="91">
        <v>17.0000093511254</v>
      </c>
      <c r="J1437" s="91">
        <v>9089.82</v>
      </c>
    </row>
    <row r="1438" spans="1:10">
      <c r="A1438" t="s">
        <v>1021</v>
      </c>
      <c r="B1438" t="s">
        <v>1022</v>
      </c>
      <c r="C1438" t="s">
        <v>20</v>
      </c>
      <c r="D1438" t="s">
        <v>59</v>
      </c>
      <c r="E1438" t="s">
        <v>988</v>
      </c>
      <c r="F1438" t="s">
        <v>49</v>
      </c>
      <c r="G1438" s="91">
        <v>534.695</v>
      </c>
      <c r="H1438" s="91"/>
      <c r="I1438" s="91">
        <v>36</v>
      </c>
      <c r="J1438" s="91">
        <v>19249.02</v>
      </c>
    </row>
    <row r="1439" spans="1:10">
      <c r="A1439" t="s">
        <v>1021</v>
      </c>
      <c r="B1439" t="s">
        <v>1022</v>
      </c>
      <c r="C1439" t="s">
        <v>20</v>
      </c>
      <c r="D1439" t="s">
        <v>59</v>
      </c>
      <c r="E1439" t="s">
        <v>989</v>
      </c>
      <c r="F1439" t="s">
        <v>49</v>
      </c>
      <c r="G1439" s="91">
        <v>1000</v>
      </c>
      <c r="H1439" s="91"/>
      <c r="I1439" s="91">
        <v>23.5</v>
      </c>
      <c r="J1439" s="91">
        <v>23500</v>
      </c>
    </row>
    <row r="1440" spans="1:10">
      <c r="A1440" t="s">
        <v>1021</v>
      </c>
      <c r="B1440" t="s">
        <v>1022</v>
      </c>
      <c r="C1440" t="s">
        <v>20</v>
      </c>
      <c r="D1440" t="s">
        <v>106</v>
      </c>
      <c r="E1440" t="s">
        <v>838</v>
      </c>
      <c r="F1440" t="s">
        <v>108</v>
      </c>
      <c r="G1440" s="91">
        <v>1940.886</v>
      </c>
      <c r="H1440" s="91"/>
      <c r="I1440" s="91">
        <v>5700</v>
      </c>
      <c r="J1440" s="91">
        <v>11063050.2</v>
      </c>
    </row>
    <row r="1441" spans="1:10">
      <c r="A1441" t="s">
        <v>1023</v>
      </c>
      <c r="B1441" t="s">
        <v>1024</v>
      </c>
      <c r="C1441" t="s">
        <v>11</v>
      </c>
      <c r="D1441" t="s">
        <v>12</v>
      </c>
      <c r="E1441" t="s">
        <v>13</v>
      </c>
      <c r="F1441" t="s">
        <v>14</v>
      </c>
      <c r="G1441" s="91">
        <v>251.757</v>
      </c>
      <c r="H1441" s="91"/>
      <c r="I1441" s="91">
        <v>450</v>
      </c>
      <c r="J1441" s="91">
        <v>113290.65</v>
      </c>
    </row>
    <row r="1442" spans="1:10">
      <c r="A1442" t="s">
        <v>1023</v>
      </c>
      <c r="B1442" t="s">
        <v>1024</v>
      </c>
      <c r="C1442" t="s">
        <v>11</v>
      </c>
      <c r="D1442" t="s">
        <v>12</v>
      </c>
      <c r="E1442" t="s">
        <v>15</v>
      </c>
      <c r="F1442" t="s">
        <v>14</v>
      </c>
      <c r="G1442" s="91">
        <v>44.797</v>
      </c>
      <c r="H1442" s="91"/>
      <c r="I1442" s="91">
        <v>600</v>
      </c>
      <c r="J1442" s="91">
        <v>26878.2</v>
      </c>
    </row>
    <row r="1443" spans="1:10">
      <c r="A1443" t="s">
        <v>1023</v>
      </c>
      <c r="B1443" t="s">
        <v>1024</v>
      </c>
      <c r="C1443" t="s">
        <v>11</v>
      </c>
      <c r="D1443" t="s">
        <v>12</v>
      </c>
      <c r="E1443" t="s">
        <v>28</v>
      </c>
      <c r="F1443" t="s">
        <v>14</v>
      </c>
      <c r="G1443" s="91">
        <v>13.439</v>
      </c>
      <c r="H1443" s="91"/>
      <c r="I1443" s="91">
        <v>600</v>
      </c>
      <c r="J1443" s="91">
        <v>8063.4</v>
      </c>
    </row>
    <row r="1444" spans="1:10">
      <c r="A1444" t="s">
        <v>1023</v>
      </c>
      <c r="B1444" t="s">
        <v>1024</v>
      </c>
      <c r="C1444" t="s">
        <v>20</v>
      </c>
      <c r="D1444" t="s">
        <v>59</v>
      </c>
      <c r="E1444" t="s">
        <v>992</v>
      </c>
      <c r="F1444" t="s">
        <v>49</v>
      </c>
      <c r="G1444" s="91">
        <v>1146.794</v>
      </c>
      <c r="H1444" s="91"/>
      <c r="I1444" s="91">
        <v>15</v>
      </c>
      <c r="J1444" s="91">
        <v>17201.91</v>
      </c>
    </row>
    <row r="1445" spans="1:10">
      <c r="A1445" t="s">
        <v>1023</v>
      </c>
      <c r="B1445" t="s">
        <v>1024</v>
      </c>
      <c r="C1445" t="s">
        <v>20</v>
      </c>
      <c r="D1445" t="s">
        <v>59</v>
      </c>
      <c r="E1445" t="s">
        <v>667</v>
      </c>
      <c r="F1445" t="s">
        <v>49</v>
      </c>
      <c r="G1445" s="91">
        <v>851.136</v>
      </c>
      <c r="H1445" s="91"/>
      <c r="I1445" s="91">
        <v>41.9999976501993</v>
      </c>
      <c r="J1445" s="91">
        <v>35747.71</v>
      </c>
    </row>
    <row r="1446" spans="1:10">
      <c r="A1446" t="s">
        <v>1023</v>
      </c>
      <c r="B1446" t="s">
        <v>1024</v>
      </c>
      <c r="C1446" t="s">
        <v>20</v>
      </c>
      <c r="D1446" t="s">
        <v>59</v>
      </c>
      <c r="E1446" t="s">
        <v>668</v>
      </c>
      <c r="F1446" t="s">
        <v>49</v>
      </c>
      <c r="G1446" s="91">
        <v>0</v>
      </c>
      <c r="H1446" s="91"/>
      <c r="I1446" s="91">
        <v>0</v>
      </c>
      <c r="J1446" s="91">
        <v>0</v>
      </c>
    </row>
    <row r="1447" spans="1:10">
      <c r="A1447" t="s">
        <v>1023</v>
      </c>
      <c r="B1447" t="s">
        <v>1024</v>
      </c>
      <c r="C1447" t="s">
        <v>20</v>
      </c>
      <c r="D1447" t="s">
        <v>59</v>
      </c>
      <c r="E1447" t="s">
        <v>60</v>
      </c>
      <c r="F1447" t="s">
        <v>49</v>
      </c>
      <c r="G1447" s="91">
        <v>503.514</v>
      </c>
      <c r="H1447" s="91"/>
      <c r="I1447" s="91">
        <v>17.0000039720842</v>
      </c>
      <c r="J1447" s="91">
        <v>8559.74</v>
      </c>
    </row>
    <row r="1448" spans="1:10">
      <c r="A1448" t="s">
        <v>1023</v>
      </c>
      <c r="B1448" t="s">
        <v>1024</v>
      </c>
      <c r="C1448" t="s">
        <v>20</v>
      </c>
      <c r="D1448" t="s">
        <v>59</v>
      </c>
      <c r="E1448" t="s">
        <v>988</v>
      </c>
      <c r="F1448" t="s">
        <v>49</v>
      </c>
      <c r="G1448" s="91">
        <v>251.757</v>
      </c>
      <c r="H1448" s="91"/>
      <c r="I1448" s="91">
        <v>35.9999920558316</v>
      </c>
      <c r="J1448" s="91">
        <v>9063.25</v>
      </c>
    </row>
    <row r="1449" spans="1:10">
      <c r="A1449" t="s">
        <v>1023</v>
      </c>
      <c r="B1449" t="s">
        <v>1024</v>
      </c>
      <c r="C1449" t="s">
        <v>20</v>
      </c>
      <c r="D1449" t="s">
        <v>59</v>
      </c>
      <c r="E1449" t="s">
        <v>989</v>
      </c>
      <c r="F1449" t="s">
        <v>49</v>
      </c>
      <c r="G1449" s="91">
        <v>1000</v>
      </c>
      <c r="H1449" s="91"/>
      <c r="I1449" s="91">
        <v>23.5</v>
      </c>
      <c r="J1449" s="91">
        <v>23500</v>
      </c>
    </row>
    <row r="1450" spans="1:10">
      <c r="A1450" t="s">
        <v>1023</v>
      </c>
      <c r="B1450" t="s">
        <v>1024</v>
      </c>
      <c r="C1450" t="s">
        <v>20</v>
      </c>
      <c r="D1450" t="s">
        <v>106</v>
      </c>
      <c r="E1450" t="s">
        <v>873</v>
      </c>
      <c r="F1450" t="s">
        <v>108</v>
      </c>
      <c r="G1450" s="91">
        <v>913.852</v>
      </c>
      <c r="H1450" s="91"/>
      <c r="I1450" s="91">
        <v>6380.99999781146</v>
      </c>
      <c r="J1450" s="91">
        <v>5831289.61</v>
      </c>
    </row>
    <row r="1451" spans="1:10">
      <c r="A1451" t="s">
        <v>1025</v>
      </c>
      <c r="B1451" t="s">
        <v>1026</v>
      </c>
      <c r="C1451" t="s">
        <v>11</v>
      </c>
      <c r="D1451" t="s">
        <v>618</v>
      </c>
      <c r="E1451" t="s">
        <v>619</v>
      </c>
      <c r="F1451" t="s">
        <v>23</v>
      </c>
      <c r="G1451" s="91">
        <v>42</v>
      </c>
      <c r="H1451" s="91"/>
      <c r="I1451" s="91">
        <v>4750</v>
      </c>
      <c r="J1451" s="91">
        <v>199500</v>
      </c>
    </row>
    <row r="1452" spans="1:10">
      <c r="A1452" t="s">
        <v>1025</v>
      </c>
      <c r="B1452" t="s">
        <v>1026</v>
      </c>
      <c r="C1452" t="s">
        <v>11</v>
      </c>
      <c r="D1452" t="s">
        <v>618</v>
      </c>
      <c r="E1452" t="s">
        <v>620</v>
      </c>
      <c r="F1452" t="s">
        <v>23</v>
      </c>
      <c r="G1452" s="91">
        <v>36</v>
      </c>
      <c r="H1452" s="91"/>
      <c r="I1452" s="91">
        <v>2375</v>
      </c>
      <c r="J1452" s="91">
        <v>85500</v>
      </c>
    </row>
    <row r="1453" spans="1:10">
      <c r="A1453" t="s">
        <v>1025</v>
      </c>
      <c r="B1453" t="s">
        <v>1026</v>
      </c>
      <c r="C1453" t="s">
        <v>11</v>
      </c>
      <c r="D1453" t="s">
        <v>618</v>
      </c>
      <c r="E1453" t="s">
        <v>621</v>
      </c>
      <c r="F1453" t="s">
        <v>23</v>
      </c>
      <c r="G1453" s="91">
        <v>6</v>
      </c>
      <c r="H1453" s="91"/>
      <c r="I1453" s="91">
        <v>3000</v>
      </c>
      <c r="J1453" s="91">
        <v>18000</v>
      </c>
    </row>
    <row r="1454" spans="1:10">
      <c r="A1454" t="s">
        <v>1027</v>
      </c>
      <c r="B1454" t="s">
        <v>1028</v>
      </c>
      <c r="C1454" t="s">
        <v>11</v>
      </c>
      <c r="D1454" t="s">
        <v>12</v>
      </c>
      <c r="E1454" t="s">
        <v>13</v>
      </c>
      <c r="F1454" t="s">
        <v>14</v>
      </c>
      <c r="G1454" s="91">
        <v>988.478</v>
      </c>
      <c r="H1454" s="91"/>
      <c r="I1454" s="91">
        <v>450</v>
      </c>
      <c r="J1454" s="91">
        <v>444815.1</v>
      </c>
    </row>
    <row r="1455" spans="1:10">
      <c r="A1455" t="s">
        <v>1027</v>
      </c>
      <c r="B1455" t="s">
        <v>1028</v>
      </c>
      <c r="C1455" t="s">
        <v>20</v>
      </c>
      <c r="D1455" t="s">
        <v>576</v>
      </c>
      <c r="E1455" t="s">
        <v>918</v>
      </c>
      <c r="F1455" t="s">
        <v>100</v>
      </c>
      <c r="G1455" s="91">
        <v>16888</v>
      </c>
      <c r="H1455" s="91"/>
      <c r="I1455" s="91">
        <v>44</v>
      </c>
      <c r="J1455" s="91">
        <v>743072</v>
      </c>
    </row>
    <row r="1456" spans="1:10">
      <c r="A1456" t="s">
        <v>1027</v>
      </c>
      <c r="B1456" t="s">
        <v>1028</v>
      </c>
      <c r="C1456" t="s">
        <v>20</v>
      </c>
      <c r="D1456" t="s">
        <v>112</v>
      </c>
      <c r="E1456" t="s">
        <v>113</v>
      </c>
      <c r="F1456" t="s">
        <v>46</v>
      </c>
      <c r="G1456" s="91">
        <v>20</v>
      </c>
      <c r="H1456" s="91"/>
      <c r="I1456" s="91">
        <v>3550</v>
      </c>
      <c r="J1456" s="91">
        <v>71000</v>
      </c>
    </row>
    <row r="1457" spans="1:10">
      <c r="A1457" t="s">
        <v>1029</v>
      </c>
      <c r="B1457" t="s">
        <v>1030</v>
      </c>
      <c r="C1457" t="s">
        <v>11</v>
      </c>
      <c r="D1457" t="s">
        <v>665</v>
      </c>
      <c r="E1457" t="s">
        <v>666</v>
      </c>
      <c r="F1457" t="s">
        <v>34</v>
      </c>
      <c r="G1457" s="91">
        <v>19099.058</v>
      </c>
      <c r="H1457" s="91"/>
      <c r="I1457" s="91">
        <v>61.2699998083675</v>
      </c>
      <c r="J1457" s="91">
        <v>1170199.28</v>
      </c>
    </row>
    <row r="1458" spans="1:10">
      <c r="A1458" t="s">
        <v>1029</v>
      </c>
      <c r="B1458" t="s">
        <v>1030</v>
      </c>
      <c r="C1458" t="s">
        <v>11</v>
      </c>
      <c r="D1458" t="s">
        <v>12</v>
      </c>
      <c r="E1458" t="s">
        <v>13</v>
      </c>
      <c r="F1458" t="s">
        <v>14</v>
      </c>
      <c r="G1458" s="91">
        <v>1787.046</v>
      </c>
      <c r="H1458" s="91"/>
      <c r="I1458" s="91">
        <v>450</v>
      </c>
      <c r="J1458" s="91">
        <v>804170.7</v>
      </c>
    </row>
    <row r="1459" spans="1:10">
      <c r="A1459" t="s">
        <v>1029</v>
      </c>
      <c r="B1459" t="s">
        <v>1030</v>
      </c>
      <c r="C1459" t="s">
        <v>11</v>
      </c>
      <c r="D1459" t="s">
        <v>12</v>
      </c>
      <c r="E1459" t="s">
        <v>15</v>
      </c>
      <c r="F1459" t="s">
        <v>14</v>
      </c>
      <c r="G1459" s="91">
        <v>279.226</v>
      </c>
      <c r="H1459" s="91"/>
      <c r="I1459" s="91">
        <v>600</v>
      </c>
      <c r="J1459" s="91">
        <v>167535.6</v>
      </c>
    </row>
    <row r="1460" spans="1:10">
      <c r="A1460" t="s">
        <v>1029</v>
      </c>
      <c r="B1460" t="s">
        <v>1030</v>
      </c>
      <c r="C1460" t="s">
        <v>11</v>
      </c>
      <c r="D1460" t="s">
        <v>12</v>
      </c>
      <c r="E1460" t="s">
        <v>28</v>
      </c>
      <c r="F1460" t="s">
        <v>14</v>
      </c>
      <c r="G1460" s="91">
        <v>83.768</v>
      </c>
      <c r="H1460" s="91"/>
      <c r="I1460" s="91">
        <v>600</v>
      </c>
      <c r="J1460" s="91">
        <v>50260.8</v>
      </c>
    </row>
    <row r="1461" spans="1:10">
      <c r="A1461" t="s">
        <v>1029</v>
      </c>
      <c r="B1461" t="s">
        <v>1030</v>
      </c>
      <c r="C1461" t="s">
        <v>20</v>
      </c>
      <c r="D1461" t="s">
        <v>59</v>
      </c>
      <c r="E1461" t="s">
        <v>667</v>
      </c>
      <c r="F1461" t="s">
        <v>49</v>
      </c>
      <c r="G1461" s="91">
        <v>5305.294</v>
      </c>
      <c r="H1461" s="91"/>
      <c r="I1461" s="91">
        <v>42.0000003769819</v>
      </c>
      <c r="J1461" s="91">
        <v>222822.35</v>
      </c>
    </row>
    <row r="1462" spans="1:10">
      <c r="A1462" t="s">
        <v>1029</v>
      </c>
      <c r="B1462" t="s">
        <v>1030</v>
      </c>
      <c r="C1462" t="s">
        <v>20</v>
      </c>
      <c r="D1462" t="s">
        <v>59</v>
      </c>
      <c r="E1462" t="s">
        <v>668</v>
      </c>
      <c r="F1462" t="s">
        <v>49</v>
      </c>
      <c r="G1462" s="91">
        <v>7148.186</v>
      </c>
      <c r="H1462" s="91"/>
      <c r="I1462" s="91">
        <v>15</v>
      </c>
      <c r="J1462" s="91">
        <v>107222.79</v>
      </c>
    </row>
    <row r="1463" spans="1:10">
      <c r="A1463" t="s">
        <v>1029</v>
      </c>
      <c r="B1463" t="s">
        <v>1030</v>
      </c>
      <c r="C1463" t="s">
        <v>20</v>
      </c>
      <c r="D1463" t="s">
        <v>59</v>
      </c>
      <c r="E1463" t="s">
        <v>60</v>
      </c>
      <c r="F1463" t="s">
        <v>49</v>
      </c>
      <c r="G1463" s="91">
        <v>3138.5</v>
      </c>
      <c r="H1463" s="91"/>
      <c r="I1463" s="91">
        <v>17</v>
      </c>
      <c r="J1463" s="91">
        <v>53354.5</v>
      </c>
    </row>
    <row r="1464" spans="1:10">
      <c r="A1464" t="s">
        <v>1029</v>
      </c>
      <c r="B1464" t="s">
        <v>1030</v>
      </c>
      <c r="C1464" t="s">
        <v>20</v>
      </c>
      <c r="D1464" t="s">
        <v>106</v>
      </c>
      <c r="E1464" t="s">
        <v>669</v>
      </c>
      <c r="F1464" t="s">
        <v>108</v>
      </c>
      <c r="G1464" s="91">
        <v>5696.21</v>
      </c>
      <c r="H1464" s="91"/>
      <c r="I1464" s="91">
        <v>4522</v>
      </c>
      <c r="J1464" s="91">
        <v>25758261.62</v>
      </c>
    </row>
    <row r="1465" spans="1:10">
      <c r="A1465" t="s">
        <v>1031</v>
      </c>
      <c r="B1465" t="s">
        <v>1032</v>
      </c>
      <c r="C1465" t="s">
        <v>11</v>
      </c>
      <c r="D1465" t="s">
        <v>24</v>
      </c>
      <c r="E1465" t="s">
        <v>604</v>
      </c>
      <c r="F1465" t="s">
        <v>34</v>
      </c>
      <c r="G1465" s="91">
        <v>17394.65</v>
      </c>
      <c r="H1465" s="91"/>
      <c r="I1465" s="91">
        <v>50</v>
      </c>
      <c r="J1465" s="91">
        <v>869732.5</v>
      </c>
    </row>
    <row r="1466" spans="1:10">
      <c r="A1466" t="s">
        <v>1031</v>
      </c>
      <c r="B1466" t="s">
        <v>1032</v>
      </c>
      <c r="C1466" t="s">
        <v>11</v>
      </c>
      <c r="D1466" t="s">
        <v>24</v>
      </c>
      <c r="E1466" t="s">
        <v>605</v>
      </c>
      <c r="F1466" t="s">
        <v>34</v>
      </c>
      <c r="G1466" s="91">
        <v>3553.727</v>
      </c>
      <c r="H1466" s="91"/>
      <c r="I1466" s="91">
        <v>80</v>
      </c>
      <c r="J1466" s="91">
        <v>284298.16</v>
      </c>
    </row>
    <row r="1467" spans="1:10">
      <c r="A1467" t="s">
        <v>1031</v>
      </c>
      <c r="B1467" t="s">
        <v>1032</v>
      </c>
      <c r="C1467" t="s">
        <v>11</v>
      </c>
      <c r="D1467" t="s">
        <v>24</v>
      </c>
      <c r="E1467" t="s">
        <v>606</v>
      </c>
      <c r="F1467" t="s">
        <v>34</v>
      </c>
      <c r="G1467" s="91">
        <v>17394.65</v>
      </c>
      <c r="H1467" s="91"/>
      <c r="I1467" s="91">
        <v>272</v>
      </c>
      <c r="J1467" s="91">
        <v>4731344.8</v>
      </c>
    </row>
    <row r="1468" spans="1:10">
      <c r="A1468" t="s">
        <v>1031</v>
      </c>
      <c r="B1468" t="s">
        <v>1032</v>
      </c>
      <c r="C1468" t="s">
        <v>20</v>
      </c>
      <c r="D1468" t="s">
        <v>47</v>
      </c>
      <c r="E1468" t="s">
        <v>50</v>
      </c>
      <c r="F1468" t="s">
        <v>49</v>
      </c>
      <c r="G1468" s="91">
        <v>521.84</v>
      </c>
      <c r="H1468" s="91"/>
      <c r="I1468" s="91">
        <v>60</v>
      </c>
      <c r="J1468" s="91">
        <v>31310.4</v>
      </c>
    </row>
    <row r="1469" spans="1:10">
      <c r="A1469" t="s">
        <v>1031</v>
      </c>
      <c r="B1469" t="s">
        <v>1032</v>
      </c>
      <c r="C1469" t="s">
        <v>20</v>
      </c>
      <c r="D1469" t="s">
        <v>61</v>
      </c>
      <c r="E1469" t="s">
        <v>78</v>
      </c>
      <c r="F1469" t="s">
        <v>49</v>
      </c>
      <c r="G1469" s="91">
        <v>486.935</v>
      </c>
      <c r="H1469" s="91"/>
      <c r="I1469" s="91">
        <v>95.000010268311</v>
      </c>
      <c r="J1469" s="91">
        <v>46258.83</v>
      </c>
    </row>
    <row r="1470" spans="1:10">
      <c r="A1470" t="s">
        <v>1031</v>
      </c>
      <c r="B1470" t="s">
        <v>1032</v>
      </c>
      <c r="C1470" t="s">
        <v>20</v>
      </c>
      <c r="D1470" t="s">
        <v>61</v>
      </c>
      <c r="E1470" t="s">
        <v>607</v>
      </c>
      <c r="F1470" t="s">
        <v>23</v>
      </c>
      <c r="G1470" s="91">
        <v>194.774</v>
      </c>
      <c r="H1470" s="91"/>
      <c r="I1470" s="91">
        <v>115.199975356054</v>
      </c>
      <c r="J1470" s="91">
        <v>22437.96</v>
      </c>
    </row>
    <row r="1471" spans="1:10">
      <c r="A1471" t="s">
        <v>1031</v>
      </c>
      <c r="B1471" t="s">
        <v>1032</v>
      </c>
      <c r="C1471" t="s">
        <v>20</v>
      </c>
      <c r="D1471" t="s">
        <v>84</v>
      </c>
      <c r="E1471" t="s">
        <v>86</v>
      </c>
      <c r="F1471" t="s">
        <v>49</v>
      </c>
      <c r="G1471" s="91">
        <v>347.893</v>
      </c>
      <c r="H1471" s="91"/>
      <c r="I1471" s="91">
        <v>60</v>
      </c>
      <c r="J1471" s="91">
        <v>20873.58</v>
      </c>
    </row>
    <row r="1472" spans="1:10">
      <c r="A1472" t="s">
        <v>1031</v>
      </c>
      <c r="B1472" t="s">
        <v>1032</v>
      </c>
      <c r="C1472" t="s">
        <v>20</v>
      </c>
      <c r="D1472" t="s">
        <v>84</v>
      </c>
      <c r="E1472" t="s">
        <v>88</v>
      </c>
      <c r="F1472" t="s">
        <v>49</v>
      </c>
      <c r="G1472" s="91">
        <v>695.786</v>
      </c>
      <c r="H1472" s="91"/>
      <c r="I1472" s="91">
        <v>60</v>
      </c>
      <c r="J1472" s="91">
        <v>41747.16</v>
      </c>
    </row>
    <row r="1473" spans="1:10">
      <c r="A1473" t="s">
        <v>1031</v>
      </c>
      <c r="B1473" t="s">
        <v>1032</v>
      </c>
      <c r="C1473" t="s">
        <v>20</v>
      </c>
      <c r="D1473" t="s">
        <v>84</v>
      </c>
      <c r="E1473" t="s">
        <v>89</v>
      </c>
      <c r="F1473" t="s">
        <v>49</v>
      </c>
      <c r="G1473" s="91">
        <v>695.786</v>
      </c>
      <c r="H1473" s="91"/>
      <c r="I1473" s="91">
        <v>60</v>
      </c>
      <c r="J1473" s="91">
        <v>41747.16</v>
      </c>
    </row>
    <row r="1474" spans="1:10">
      <c r="A1474" t="s">
        <v>1031</v>
      </c>
      <c r="B1474" t="s">
        <v>1032</v>
      </c>
      <c r="C1474" t="s">
        <v>20</v>
      </c>
      <c r="D1474" t="s">
        <v>84</v>
      </c>
      <c r="E1474" t="s">
        <v>608</v>
      </c>
      <c r="F1474" t="s">
        <v>100</v>
      </c>
      <c r="G1474" s="91">
        <v>23395.804</v>
      </c>
      <c r="H1474" s="91"/>
      <c r="I1474" s="91">
        <v>67.0000000854854</v>
      </c>
      <c r="J1474" s="91">
        <v>1567518.87</v>
      </c>
    </row>
    <row r="1475" spans="1:10">
      <c r="A1475" t="s">
        <v>1031</v>
      </c>
      <c r="B1475" t="s">
        <v>1032</v>
      </c>
      <c r="C1475" t="s">
        <v>20</v>
      </c>
      <c r="D1475" t="s">
        <v>84</v>
      </c>
      <c r="E1475" t="s">
        <v>610</v>
      </c>
      <c r="F1475" t="s">
        <v>611</v>
      </c>
      <c r="G1475" s="91">
        <v>1600.308</v>
      </c>
      <c r="H1475" s="91"/>
      <c r="I1475" s="91">
        <v>0</v>
      </c>
      <c r="J1475" s="91">
        <v>0</v>
      </c>
    </row>
    <row r="1476" spans="1:10">
      <c r="A1476" t="s">
        <v>1031</v>
      </c>
      <c r="B1476" t="s">
        <v>1032</v>
      </c>
      <c r="C1476" t="s">
        <v>20</v>
      </c>
      <c r="D1476" t="s">
        <v>84</v>
      </c>
      <c r="E1476" t="s">
        <v>612</v>
      </c>
      <c r="F1476" t="s">
        <v>611</v>
      </c>
      <c r="G1476" s="91">
        <v>1252.415</v>
      </c>
      <c r="H1476" s="91"/>
      <c r="I1476" s="91">
        <v>295.000003992287</v>
      </c>
      <c r="J1476" s="91">
        <v>369462.43</v>
      </c>
    </row>
    <row r="1477" spans="1:10">
      <c r="A1477" t="s">
        <v>1031</v>
      </c>
      <c r="B1477" t="s">
        <v>1032</v>
      </c>
      <c r="C1477" t="s">
        <v>20</v>
      </c>
      <c r="D1477" t="s">
        <v>84</v>
      </c>
      <c r="E1477" t="s">
        <v>684</v>
      </c>
      <c r="F1477" t="s">
        <v>23</v>
      </c>
      <c r="G1477" s="91">
        <v>2957.091</v>
      </c>
      <c r="H1477" s="91"/>
      <c r="I1477" s="91">
        <v>38.0000006763404</v>
      </c>
      <c r="J1477" s="91">
        <v>112369.46</v>
      </c>
    </row>
    <row r="1478" spans="1:10">
      <c r="A1478" t="s">
        <v>1033</v>
      </c>
      <c r="B1478" t="s">
        <v>1034</v>
      </c>
      <c r="C1478" t="s">
        <v>20</v>
      </c>
      <c r="D1478" t="s">
        <v>47</v>
      </c>
      <c r="E1478" t="s">
        <v>48</v>
      </c>
      <c r="F1478" t="s">
        <v>49</v>
      </c>
      <c r="G1478" s="91">
        <v>7922.28</v>
      </c>
      <c r="H1478" s="91"/>
      <c r="I1478" s="91">
        <v>75</v>
      </c>
      <c r="J1478" s="91">
        <v>594171</v>
      </c>
    </row>
    <row r="1479" spans="1:10">
      <c r="A1479" t="s">
        <v>1033</v>
      </c>
      <c r="B1479" t="s">
        <v>1034</v>
      </c>
      <c r="C1479" t="s">
        <v>20</v>
      </c>
      <c r="D1479" t="s">
        <v>624</v>
      </c>
      <c r="E1479" t="s">
        <v>625</v>
      </c>
      <c r="F1479" t="s">
        <v>23</v>
      </c>
      <c r="G1479" s="91">
        <v>19805.7</v>
      </c>
      <c r="H1479" s="91"/>
      <c r="I1479" s="91">
        <v>0.8</v>
      </c>
      <c r="J1479" s="91">
        <v>15844.56</v>
      </c>
    </row>
    <row r="1480" spans="1:10">
      <c r="A1480" t="s">
        <v>1033</v>
      </c>
      <c r="B1480" t="s">
        <v>1034</v>
      </c>
      <c r="C1480" t="s">
        <v>20</v>
      </c>
      <c r="D1480" t="s">
        <v>624</v>
      </c>
      <c r="E1480" t="s">
        <v>626</v>
      </c>
      <c r="F1480" t="s">
        <v>23</v>
      </c>
      <c r="G1480" s="91">
        <v>19805.7</v>
      </c>
      <c r="H1480" s="91"/>
      <c r="I1480" s="91">
        <v>0.9</v>
      </c>
      <c r="J1480" s="91">
        <v>17825.13</v>
      </c>
    </row>
    <row r="1481" spans="1:10">
      <c r="A1481" t="s">
        <v>1033</v>
      </c>
      <c r="B1481" t="s">
        <v>1034</v>
      </c>
      <c r="C1481" t="s">
        <v>20</v>
      </c>
      <c r="D1481" t="s">
        <v>624</v>
      </c>
      <c r="E1481" t="s">
        <v>627</v>
      </c>
      <c r="F1481" t="s">
        <v>23</v>
      </c>
      <c r="G1481" s="91">
        <v>19805.7</v>
      </c>
      <c r="H1481" s="91"/>
      <c r="I1481" s="91">
        <v>3.1</v>
      </c>
      <c r="J1481" s="91">
        <v>61397.67</v>
      </c>
    </row>
    <row r="1482" spans="1:10">
      <c r="A1482" t="s">
        <v>1033</v>
      </c>
      <c r="B1482" t="s">
        <v>1034</v>
      </c>
      <c r="C1482" t="s">
        <v>20</v>
      </c>
      <c r="D1482" t="s">
        <v>624</v>
      </c>
      <c r="E1482" t="s">
        <v>628</v>
      </c>
      <c r="F1482" t="s">
        <v>23</v>
      </c>
      <c r="G1482" s="91">
        <v>24757.125</v>
      </c>
      <c r="H1482" s="91"/>
      <c r="I1482" s="91">
        <v>3.10000010098103</v>
      </c>
      <c r="J1482" s="91">
        <v>76747.09</v>
      </c>
    </row>
    <row r="1483" spans="1:10">
      <c r="A1483" t="s">
        <v>1033</v>
      </c>
      <c r="B1483" t="s">
        <v>1034</v>
      </c>
      <c r="C1483" t="s">
        <v>20</v>
      </c>
      <c r="D1483" t="s">
        <v>624</v>
      </c>
      <c r="E1483" t="s">
        <v>629</v>
      </c>
      <c r="F1483" t="s">
        <v>23</v>
      </c>
      <c r="G1483" s="91">
        <v>9902.85</v>
      </c>
      <c r="H1483" s="91"/>
      <c r="I1483" s="91">
        <v>6.50000050490515</v>
      </c>
      <c r="J1483" s="91">
        <v>64368.53</v>
      </c>
    </row>
    <row r="1484" spans="1:10">
      <c r="A1484" t="s">
        <v>1033</v>
      </c>
      <c r="B1484" t="s">
        <v>1034</v>
      </c>
      <c r="C1484" t="s">
        <v>11</v>
      </c>
      <c r="D1484" t="s">
        <v>630</v>
      </c>
      <c r="E1484" t="s">
        <v>631</v>
      </c>
      <c r="F1484" t="s">
        <v>17</v>
      </c>
      <c r="G1484" s="91">
        <v>660.19</v>
      </c>
      <c r="H1484" s="91"/>
      <c r="I1484" s="91">
        <v>9380</v>
      </c>
      <c r="J1484" s="91">
        <v>6192582.2</v>
      </c>
    </row>
    <row r="1485" spans="1:10">
      <c r="A1485" t="s">
        <v>1035</v>
      </c>
      <c r="B1485" t="s">
        <v>1036</v>
      </c>
      <c r="C1485" t="s">
        <v>11</v>
      </c>
      <c r="D1485" t="s">
        <v>665</v>
      </c>
      <c r="E1485" t="s">
        <v>666</v>
      </c>
      <c r="F1485" t="s">
        <v>34</v>
      </c>
      <c r="G1485" s="91">
        <v>1117.861</v>
      </c>
      <c r="H1485" s="91"/>
      <c r="I1485" s="91">
        <v>61.2699968958573</v>
      </c>
      <c r="J1485" s="91">
        <v>68491.34</v>
      </c>
    </row>
    <row r="1486" spans="1:10">
      <c r="A1486" t="s">
        <v>1035</v>
      </c>
      <c r="B1486" t="s">
        <v>1036</v>
      </c>
      <c r="C1486" t="s">
        <v>11</v>
      </c>
      <c r="D1486" t="s">
        <v>12</v>
      </c>
      <c r="E1486" t="s">
        <v>13</v>
      </c>
      <c r="F1486" t="s">
        <v>14</v>
      </c>
      <c r="G1486" s="91">
        <v>104.595</v>
      </c>
      <c r="H1486" s="91"/>
      <c r="I1486" s="91">
        <v>450</v>
      </c>
      <c r="J1486" s="91">
        <v>47067.75</v>
      </c>
    </row>
    <row r="1487" spans="1:10">
      <c r="A1487" t="s">
        <v>1035</v>
      </c>
      <c r="B1487" t="s">
        <v>1036</v>
      </c>
      <c r="C1487" t="s">
        <v>11</v>
      </c>
      <c r="D1487" t="s">
        <v>12</v>
      </c>
      <c r="E1487" t="s">
        <v>15</v>
      </c>
      <c r="F1487" t="s">
        <v>14</v>
      </c>
      <c r="G1487" s="91">
        <v>16.343</v>
      </c>
      <c r="H1487" s="91"/>
      <c r="I1487" s="91">
        <v>600</v>
      </c>
      <c r="J1487" s="91">
        <v>9805.8</v>
      </c>
    </row>
    <row r="1488" spans="1:10">
      <c r="A1488" t="s">
        <v>1035</v>
      </c>
      <c r="B1488" t="s">
        <v>1036</v>
      </c>
      <c r="C1488" t="s">
        <v>11</v>
      </c>
      <c r="D1488" t="s">
        <v>12</v>
      </c>
      <c r="E1488" t="s">
        <v>28</v>
      </c>
      <c r="F1488" t="s">
        <v>14</v>
      </c>
      <c r="G1488" s="91">
        <v>4.903</v>
      </c>
      <c r="H1488" s="91"/>
      <c r="I1488" s="91">
        <v>600</v>
      </c>
      <c r="J1488" s="91">
        <v>2941.8</v>
      </c>
    </row>
    <row r="1489" spans="1:10">
      <c r="A1489" t="s">
        <v>1035</v>
      </c>
      <c r="B1489" t="s">
        <v>1036</v>
      </c>
      <c r="C1489" t="s">
        <v>20</v>
      </c>
      <c r="D1489" t="s">
        <v>59</v>
      </c>
      <c r="E1489" t="s">
        <v>667</v>
      </c>
      <c r="F1489" t="s">
        <v>49</v>
      </c>
      <c r="G1489" s="91">
        <v>310.517</v>
      </c>
      <c r="H1489" s="91"/>
      <c r="I1489" s="91">
        <v>41.9999871182576</v>
      </c>
      <c r="J1489" s="91">
        <v>13041.71</v>
      </c>
    </row>
    <row r="1490" spans="1:10">
      <c r="A1490" t="s">
        <v>1035</v>
      </c>
      <c r="B1490" t="s">
        <v>1036</v>
      </c>
      <c r="C1490" t="s">
        <v>20</v>
      </c>
      <c r="D1490" t="s">
        <v>59</v>
      </c>
      <c r="E1490" t="s">
        <v>668</v>
      </c>
      <c r="F1490" t="s">
        <v>49</v>
      </c>
      <c r="G1490" s="91">
        <v>418.381</v>
      </c>
      <c r="H1490" s="91"/>
      <c r="I1490" s="91">
        <v>15.0000119508295</v>
      </c>
      <c r="J1490" s="91">
        <v>6275.72</v>
      </c>
    </row>
    <row r="1491" spans="1:10">
      <c r="A1491" t="s">
        <v>1035</v>
      </c>
      <c r="B1491" t="s">
        <v>1036</v>
      </c>
      <c r="C1491" t="s">
        <v>20</v>
      </c>
      <c r="D1491" t="s">
        <v>59</v>
      </c>
      <c r="E1491" t="s">
        <v>60</v>
      </c>
      <c r="F1491" t="s">
        <v>49</v>
      </c>
      <c r="G1491" s="91">
        <v>183.695</v>
      </c>
      <c r="H1491" s="91"/>
      <c r="I1491" s="91">
        <v>17.0000272190315</v>
      </c>
      <c r="J1491" s="91">
        <v>3122.82</v>
      </c>
    </row>
    <row r="1492" spans="1:10">
      <c r="A1492" t="s">
        <v>1035</v>
      </c>
      <c r="B1492" t="s">
        <v>1036</v>
      </c>
      <c r="C1492" t="s">
        <v>20</v>
      </c>
      <c r="D1492" t="s">
        <v>106</v>
      </c>
      <c r="E1492" t="s">
        <v>669</v>
      </c>
      <c r="F1492" t="s">
        <v>108</v>
      </c>
      <c r="G1492" s="91">
        <v>333.397</v>
      </c>
      <c r="H1492" s="91"/>
      <c r="I1492" s="91">
        <v>4521.99998800229</v>
      </c>
      <c r="J1492" s="91">
        <v>1507621.23</v>
      </c>
    </row>
    <row r="1493" spans="1:10">
      <c r="A1493" t="s">
        <v>1037</v>
      </c>
      <c r="B1493" t="s">
        <v>1038</v>
      </c>
      <c r="C1493" t="s">
        <v>11</v>
      </c>
      <c r="D1493" t="s">
        <v>24</v>
      </c>
      <c r="E1493" t="s">
        <v>604</v>
      </c>
      <c r="F1493" t="s">
        <v>34</v>
      </c>
      <c r="G1493" s="91">
        <v>1307.43</v>
      </c>
      <c r="H1493" s="91"/>
      <c r="I1493" s="91">
        <v>0</v>
      </c>
      <c r="J1493" s="91">
        <v>0</v>
      </c>
    </row>
    <row r="1494" spans="1:10">
      <c r="A1494" t="s">
        <v>1037</v>
      </c>
      <c r="B1494" t="s">
        <v>1038</v>
      </c>
      <c r="C1494" t="s">
        <v>11</v>
      </c>
      <c r="D1494" t="s">
        <v>24</v>
      </c>
      <c r="E1494" t="s">
        <v>605</v>
      </c>
      <c r="F1494" t="s">
        <v>34</v>
      </c>
      <c r="G1494" s="91">
        <v>267.108</v>
      </c>
      <c r="H1494" s="91"/>
      <c r="I1494" s="91">
        <v>80</v>
      </c>
      <c r="J1494" s="91">
        <v>21368.64</v>
      </c>
    </row>
    <row r="1495" spans="1:10">
      <c r="A1495" t="s">
        <v>1037</v>
      </c>
      <c r="B1495" t="s">
        <v>1038</v>
      </c>
      <c r="C1495" t="s">
        <v>11</v>
      </c>
      <c r="D1495" t="s">
        <v>24</v>
      </c>
      <c r="E1495" t="s">
        <v>606</v>
      </c>
      <c r="F1495" t="s">
        <v>34</v>
      </c>
      <c r="G1495" s="91">
        <v>1307.43</v>
      </c>
      <c r="H1495" s="91"/>
      <c r="I1495" s="91">
        <v>0</v>
      </c>
      <c r="J1495" s="91">
        <v>0</v>
      </c>
    </row>
    <row r="1496" spans="1:10">
      <c r="A1496" t="s">
        <v>1037</v>
      </c>
      <c r="B1496" t="s">
        <v>1038</v>
      </c>
      <c r="C1496" t="s">
        <v>20</v>
      </c>
      <c r="D1496" t="s">
        <v>47</v>
      </c>
      <c r="E1496" t="s">
        <v>50</v>
      </c>
      <c r="F1496" t="s">
        <v>49</v>
      </c>
      <c r="G1496" s="91">
        <v>39.223</v>
      </c>
      <c r="H1496" s="91"/>
      <c r="I1496" s="91">
        <v>60</v>
      </c>
      <c r="J1496" s="91">
        <v>2353.38</v>
      </c>
    </row>
    <row r="1497" spans="1:10">
      <c r="A1497" t="s">
        <v>1037</v>
      </c>
      <c r="B1497" t="s">
        <v>1038</v>
      </c>
      <c r="C1497" t="s">
        <v>20</v>
      </c>
      <c r="D1497" t="s">
        <v>61</v>
      </c>
      <c r="E1497" t="s">
        <v>78</v>
      </c>
      <c r="F1497" t="s">
        <v>49</v>
      </c>
      <c r="G1497" s="91">
        <v>36.599</v>
      </c>
      <c r="H1497" s="91"/>
      <c r="I1497" s="91">
        <v>95.0001366157545</v>
      </c>
      <c r="J1497" s="91">
        <v>3476.91</v>
      </c>
    </row>
    <row r="1498" spans="1:10">
      <c r="A1498" t="s">
        <v>1037</v>
      </c>
      <c r="B1498" t="s">
        <v>1038</v>
      </c>
      <c r="C1498" t="s">
        <v>20</v>
      </c>
      <c r="D1498" t="s">
        <v>61</v>
      </c>
      <c r="E1498" t="s">
        <v>607</v>
      </c>
      <c r="F1498" t="s">
        <v>23</v>
      </c>
      <c r="G1498" s="91">
        <v>14.64</v>
      </c>
      <c r="H1498" s="91"/>
      <c r="I1498" s="91">
        <v>115.200136612022</v>
      </c>
      <c r="J1498" s="91">
        <v>1686.53</v>
      </c>
    </row>
    <row r="1499" spans="1:10">
      <c r="A1499" t="s">
        <v>1037</v>
      </c>
      <c r="B1499" t="s">
        <v>1038</v>
      </c>
      <c r="C1499" t="s">
        <v>20</v>
      </c>
      <c r="D1499" t="s">
        <v>84</v>
      </c>
      <c r="E1499" t="s">
        <v>86</v>
      </c>
      <c r="F1499" t="s">
        <v>49</v>
      </c>
      <c r="G1499" s="91">
        <v>26.149</v>
      </c>
      <c r="H1499" s="91"/>
      <c r="I1499" s="91">
        <v>60</v>
      </c>
      <c r="J1499" s="91">
        <v>1568.94</v>
      </c>
    </row>
    <row r="1500" spans="1:10">
      <c r="A1500" t="s">
        <v>1037</v>
      </c>
      <c r="B1500" t="s">
        <v>1038</v>
      </c>
      <c r="C1500" t="s">
        <v>20</v>
      </c>
      <c r="D1500" t="s">
        <v>84</v>
      </c>
      <c r="E1500" t="s">
        <v>88</v>
      </c>
      <c r="F1500" t="s">
        <v>49</v>
      </c>
      <c r="G1500" s="91">
        <v>52.297</v>
      </c>
      <c r="H1500" s="91"/>
      <c r="I1500" s="91">
        <v>60</v>
      </c>
      <c r="J1500" s="91">
        <v>3137.82</v>
      </c>
    </row>
    <row r="1501" spans="1:10">
      <c r="A1501" t="s">
        <v>1037</v>
      </c>
      <c r="B1501" t="s">
        <v>1038</v>
      </c>
      <c r="C1501" t="s">
        <v>20</v>
      </c>
      <c r="D1501" t="s">
        <v>84</v>
      </c>
      <c r="E1501" t="s">
        <v>89</v>
      </c>
      <c r="F1501" t="s">
        <v>49</v>
      </c>
      <c r="G1501" s="91">
        <v>52.297</v>
      </c>
      <c r="H1501" s="91"/>
      <c r="I1501" s="91">
        <v>60</v>
      </c>
      <c r="J1501" s="91">
        <v>3137.82</v>
      </c>
    </row>
    <row r="1502" spans="1:10">
      <c r="A1502" t="s">
        <v>1037</v>
      </c>
      <c r="B1502" t="s">
        <v>1038</v>
      </c>
      <c r="C1502" t="s">
        <v>20</v>
      </c>
      <c r="D1502" t="s">
        <v>84</v>
      </c>
      <c r="E1502" t="s">
        <v>608</v>
      </c>
      <c r="F1502" t="s">
        <v>100</v>
      </c>
      <c r="G1502" s="91">
        <v>1758.493</v>
      </c>
      <c r="H1502" s="91"/>
      <c r="I1502" s="91">
        <v>66.9999994313313</v>
      </c>
      <c r="J1502" s="91">
        <v>117819.03</v>
      </c>
    </row>
    <row r="1503" spans="1:10">
      <c r="A1503" t="s">
        <v>1037</v>
      </c>
      <c r="B1503" t="s">
        <v>1038</v>
      </c>
      <c r="C1503" t="s">
        <v>20</v>
      </c>
      <c r="D1503" t="s">
        <v>84</v>
      </c>
      <c r="E1503" t="s">
        <v>609</v>
      </c>
      <c r="F1503" t="s">
        <v>63</v>
      </c>
      <c r="G1503" s="91">
        <v>52.297</v>
      </c>
      <c r="H1503" s="91"/>
      <c r="I1503" s="91">
        <v>135.000095607779</v>
      </c>
      <c r="J1503" s="91">
        <v>7060.1</v>
      </c>
    </row>
    <row r="1504" spans="1:10">
      <c r="A1504" t="s">
        <v>1037</v>
      </c>
      <c r="B1504" t="s">
        <v>1038</v>
      </c>
      <c r="C1504" t="s">
        <v>20</v>
      </c>
      <c r="D1504" t="s">
        <v>84</v>
      </c>
      <c r="E1504" t="s">
        <v>610</v>
      </c>
      <c r="F1504" t="s">
        <v>611</v>
      </c>
      <c r="G1504" s="91">
        <v>120.284</v>
      </c>
      <c r="H1504" s="91"/>
      <c r="I1504" s="91">
        <v>395</v>
      </c>
      <c r="J1504" s="91">
        <v>47512.18</v>
      </c>
    </row>
    <row r="1505" spans="1:10">
      <c r="A1505" t="s">
        <v>1037</v>
      </c>
      <c r="B1505" t="s">
        <v>1038</v>
      </c>
      <c r="C1505" t="s">
        <v>20</v>
      </c>
      <c r="D1505" t="s">
        <v>84</v>
      </c>
      <c r="E1505" t="s">
        <v>612</v>
      </c>
      <c r="F1505" t="s">
        <v>611</v>
      </c>
      <c r="G1505" s="91">
        <v>94.135</v>
      </c>
      <c r="H1505" s="91"/>
      <c r="I1505" s="91">
        <v>295.000053115207</v>
      </c>
      <c r="J1505" s="91">
        <v>27769.83</v>
      </c>
    </row>
    <row r="1506" spans="1:10">
      <c r="A1506" t="s">
        <v>1039</v>
      </c>
      <c r="B1506" t="s">
        <v>1040</v>
      </c>
      <c r="C1506" t="s">
        <v>20</v>
      </c>
      <c r="D1506" t="s">
        <v>47</v>
      </c>
      <c r="E1506" t="s">
        <v>48</v>
      </c>
      <c r="F1506" t="s">
        <v>49</v>
      </c>
      <c r="G1506" s="91">
        <v>405.48</v>
      </c>
      <c r="H1506" s="91"/>
      <c r="I1506" s="91">
        <v>75</v>
      </c>
      <c r="J1506" s="91">
        <v>30411</v>
      </c>
    </row>
    <row r="1507" spans="1:10">
      <c r="A1507" t="s">
        <v>1039</v>
      </c>
      <c r="B1507" t="s">
        <v>1040</v>
      </c>
      <c r="C1507" t="s">
        <v>20</v>
      </c>
      <c r="D1507" t="s">
        <v>624</v>
      </c>
      <c r="E1507" t="s">
        <v>625</v>
      </c>
      <c r="F1507" t="s">
        <v>23</v>
      </c>
      <c r="G1507" s="91">
        <v>1013.7</v>
      </c>
      <c r="H1507" s="91"/>
      <c r="I1507" s="91">
        <v>0.8</v>
      </c>
      <c r="J1507" s="91">
        <v>810.96</v>
      </c>
    </row>
    <row r="1508" spans="1:10">
      <c r="A1508" t="s">
        <v>1039</v>
      </c>
      <c r="B1508" t="s">
        <v>1040</v>
      </c>
      <c r="C1508" t="s">
        <v>20</v>
      </c>
      <c r="D1508" t="s">
        <v>624</v>
      </c>
      <c r="E1508" t="s">
        <v>626</v>
      </c>
      <c r="F1508" t="s">
        <v>23</v>
      </c>
      <c r="G1508" s="91">
        <v>1013.7</v>
      </c>
      <c r="H1508" s="91"/>
      <c r="I1508" s="91">
        <v>0.9</v>
      </c>
      <c r="J1508" s="91">
        <v>912.33</v>
      </c>
    </row>
    <row r="1509" spans="1:10">
      <c r="A1509" t="s">
        <v>1039</v>
      </c>
      <c r="B1509" t="s">
        <v>1040</v>
      </c>
      <c r="C1509" t="s">
        <v>20</v>
      </c>
      <c r="D1509" t="s">
        <v>624</v>
      </c>
      <c r="E1509" t="s">
        <v>627</v>
      </c>
      <c r="F1509" t="s">
        <v>23</v>
      </c>
      <c r="G1509" s="91">
        <v>1013.7</v>
      </c>
      <c r="H1509" s="91"/>
      <c r="I1509" s="91">
        <v>3.1</v>
      </c>
      <c r="J1509" s="91">
        <v>3142.47</v>
      </c>
    </row>
    <row r="1510" spans="1:10">
      <c r="A1510" t="s">
        <v>1039</v>
      </c>
      <c r="B1510" t="s">
        <v>1040</v>
      </c>
      <c r="C1510" t="s">
        <v>20</v>
      </c>
      <c r="D1510" t="s">
        <v>624</v>
      </c>
      <c r="E1510" t="s">
        <v>628</v>
      </c>
      <c r="F1510" t="s">
        <v>23</v>
      </c>
      <c r="G1510" s="91">
        <v>1267.125</v>
      </c>
      <c r="H1510" s="91"/>
      <c r="I1510" s="91">
        <v>3.10000197297031</v>
      </c>
      <c r="J1510" s="91">
        <v>3928.09</v>
      </c>
    </row>
    <row r="1511" spans="1:10">
      <c r="A1511" t="s">
        <v>1039</v>
      </c>
      <c r="B1511" t="s">
        <v>1040</v>
      </c>
      <c r="C1511" t="s">
        <v>20</v>
      </c>
      <c r="D1511" t="s">
        <v>624</v>
      </c>
      <c r="E1511" t="s">
        <v>629</v>
      </c>
      <c r="F1511" t="s">
        <v>23</v>
      </c>
      <c r="G1511" s="91">
        <v>506.85</v>
      </c>
      <c r="H1511" s="91"/>
      <c r="I1511" s="91">
        <v>6.50000986485153</v>
      </c>
      <c r="J1511" s="91">
        <v>3294.53</v>
      </c>
    </row>
    <row r="1512" spans="1:10">
      <c r="A1512" t="s">
        <v>1039</v>
      </c>
      <c r="B1512" t="s">
        <v>1040</v>
      </c>
      <c r="C1512" t="s">
        <v>11</v>
      </c>
      <c r="D1512" t="s">
        <v>630</v>
      </c>
      <c r="E1512" t="s">
        <v>631</v>
      </c>
      <c r="F1512" t="s">
        <v>17</v>
      </c>
      <c r="G1512" s="91">
        <v>33.79</v>
      </c>
      <c r="H1512" s="91"/>
      <c r="I1512" s="91">
        <v>9380</v>
      </c>
      <c r="J1512" s="91">
        <v>316950.2</v>
      </c>
    </row>
    <row r="1513" spans="1:10">
      <c r="A1513" t="s">
        <v>1041</v>
      </c>
      <c r="B1513" t="s">
        <v>1042</v>
      </c>
      <c r="C1513" t="s">
        <v>11</v>
      </c>
      <c r="D1513" t="s">
        <v>665</v>
      </c>
      <c r="E1513" t="s">
        <v>666</v>
      </c>
      <c r="F1513" t="s">
        <v>34</v>
      </c>
      <c r="G1513" s="91">
        <v>1963.511</v>
      </c>
      <c r="H1513" s="91"/>
      <c r="I1513" s="91">
        <v>61.2700005245705</v>
      </c>
      <c r="J1513" s="91">
        <v>120304.32</v>
      </c>
    </row>
    <row r="1514" spans="1:10">
      <c r="A1514" t="s">
        <v>1041</v>
      </c>
      <c r="B1514" t="s">
        <v>1042</v>
      </c>
      <c r="C1514" t="s">
        <v>11</v>
      </c>
      <c r="D1514" t="s">
        <v>12</v>
      </c>
      <c r="E1514" t="s">
        <v>13</v>
      </c>
      <c r="F1514" t="s">
        <v>14</v>
      </c>
      <c r="G1514" s="91">
        <v>183.72</v>
      </c>
      <c r="H1514" s="91"/>
      <c r="I1514" s="91">
        <v>450</v>
      </c>
      <c r="J1514" s="91">
        <v>82674</v>
      </c>
    </row>
    <row r="1515" spans="1:10">
      <c r="A1515" t="s">
        <v>1041</v>
      </c>
      <c r="B1515" t="s">
        <v>1042</v>
      </c>
      <c r="C1515" t="s">
        <v>11</v>
      </c>
      <c r="D1515" t="s">
        <v>12</v>
      </c>
      <c r="E1515" t="s">
        <v>15</v>
      </c>
      <c r="F1515" t="s">
        <v>14</v>
      </c>
      <c r="G1515" s="91">
        <v>28.706</v>
      </c>
      <c r="H1515" s="91"/>
      <c r="I1515" s="91">
        <v>600</v>
      </c>
      <c r="J1515" s="91">
        <v>17223.6</v>
      </c>
    </row>
    <row r="1516" spans="1:10">
      <c r="A1516" t="s">
        <v>1041</v>
      </c>
      <c r="B1516" t="s">
        <v>1042</v>
      </c>
      <c r="C1516" t="s">
        <v>11</v>
      </c>
      <c r="D1516" t="s">
        <v>12</v>
      </c>
      <c r="E1516" t="s">
        <v>28</v>
      </c>
      <c r="F1516" t="s">
        <v>14</v>
      </c>
      <c r="G1516" s="91">
        <v>8.612</v>
      </c>
      <c r="H1516" s="91"/>
      <c r="I1516" s="91">
        <v>600</v>
      </c>
      <c r="J1516" s="91">
        <v>5167.2</v>
      </c>
    </row>
    <row r="1517" spans="1:10">
      <c r="A1517" t="s">
        <v>1041</v>
      </c>
      <c r="B1517" t="s">
        <v>1042</v>
      </c>
      <c r="C1517" t="s">
        <v>20</v>
      </c>
      <c r="D1517" t="s">
        <v>59</v>
      </c>
      <c r="E1517" t="s">
        <v>667</v>
      </c>
      <c r="F1517" t="s">
        <v>49</v>
      </c>
      <c r="G1517" s="91">
        <v>545.42</v>
      </c>
      <c r="H1517" s="91"/>
      <c r="I1517" s="91">
        <v>42</v>
      </c>
      <c r="J1517" s="91">
        <v>22907.64</v>
      </c>
    </row>
    <row r="1518" spans="1:10">
      <c r="A1518" t="s">
        <v>1041</v>
      </c>
      <c r="B1518" t="s">
        <v>1042</v>
      </c>
      <c r="C1518" t="s">
        <v>20</v>
      </c>
      <c r="D1518" t="s">
        <v>59</v>
      </c>
      <c r="E1518" t="s">
        <v>668</v>
      </c>
      <c r="F1518" t="s">
        <v>49</v>
      </c>
      <c r="G1518" s="91">
        <v>734.881</v>
      </c>
      <c r="H1518" s="91"/>
      <c r="I1518" s="91">
        <v>15.0000068038227</v>
      </c>
      <c r="J1518" s="91">
        <v>11023.22</v>
      </c>
    </row>
    <row r="1519" spans="1:10">
      <c r="A1519" t="s">
        <v>1041</v>
      </c>
      <c r="B1519" t="s">
        <v>1042</v>
      </c>
      <c r="C1519" t="s">
        <v>20</v>
      </c>
      <c r="D1519" t="s">
        <v>59</v>
      </c>
      <c r="E1519" t="s">
        <v>60</v>
      </c>
      <c r="F1519" t="s">
        <v>49</v>
      </c>
      <c r="G1519" s="91">
        <v>322.659</v>
      </c>
      <c r="H1519" s="91"/>
      <c r="I1519" s="91">
        <v>16.9999907022584</v>
      </c>
      <c r="J1519" s="91">
        <v>5485.2</v>
      </c>
    </row>
    <row r="1520" spans="1:10">
      <c r="A1520" t="s">
        <v>1041</v>
      </c>
      <c r="B1520" t="s">
        <v>1042</v>
      </c>
      <c r="C1520" t="s">
        <v>20</v>
      </c>
      <c r="D1520" t="s">
        <v>106</v>
      </c>
      <c r="E1520" t="s">
        <v>672</v>
      </c>
      <c r="F1520" t="s">
        <v>108</v>
      </c>
      <c r="G1520" s="91">
        <v>585.609</v>
      </c>
      <c r="H1520" s="91"/>
      <c r="I1520" s="91">
        <v>5000</v>
      </c>
      <c r="J1520" s="91">
        <v>2928045</v>
      </c>
    </row>
    <row r="1521" spans="1:10">
      <c r="A1521" t="s">
        <v>1043</v>
      </c>
      <c r="B1521" t="s">
        <v>1044</v>
      </c>
      <c r="C1521" t="s">
        <v>11</v>
      </c>
      <c r="D1521" t="s">
        <v>24</v>
      </c>
      <c r="E1521" t="s">
        <v>604</v>
      </c>
      <c r="F1521" t="s">
        <v>34</v>
      </c>
      <c r="G1521" s="91">
        <v>3528.431</v>
      </c>
      <c r="H1521" s="91"/>
      <c r="I1521" s="91">
        <v>50</v>
      </c>
      <c r="J1521" s="91">
        <v>176421.55</v>
      </c>
    </row>
    <row r="1522" spans="1:10">
      <c r="A1522" t="s">
        <v>1043</v>
      </c>
      <c r="B1522" t="s">
        <v>1044</v>
      </c>
      <c r="C1522" t="s">
        <v>11</v>
      </c>
      <c r="D1522" t="s">
        <v>24</v>
      </c>
      <c r="E1522" t="s">
        <v>605</v>
      </c>
      <c r="F1522" t="s">
        <v>34</v>
      </c>
      <c r="G1522" s="91">
        <v>720.858</v>
      </c>
      <c r="H1522" s="91"/>
      <c r="I1522" s="91">
        <v>80</v>
      </c>
      <c r="J1522" s="91">
        <v>57668.64</v>
      </c>
    </row>
    <row r="1523" spans="1:10">
      <c r="A1523" t="s">
        <v>1043</v>
      </c>
      <c r="B1523" t="s">
        <v>1044</v>
      </c>
      <c r="C1523" t="s">
        <v>11</v>
      </c>
      <c r="D1523" t="s">
        <v>24</v>
      </c>
      <c r="E1523" t="s">
        <v>606</v>
      </c>
      <c r="F1523" t="s">
        <v>34</v>
      </c>
      <c r="G1523" s="91">
        <v>3528.431</v>
      </c>
      <c r="H1523" s="91"/>
      <c r="I1523" s="91">
        <v>271.999999433176</v>
      </c>
      <c r="J1523" s="91">
        <v>959733.23</v>
      </c>
    </row>
    <row r="1524" spans="1:10">
      <c r="A1524" t="s">
        <v>1043</v>
      </c>
      <c r="B1524" t="s">
        <v>1044</v>
      </c>
      <c r="C1524" t="s">
        <v>20</v>
      </c>
      <c r="D1524" t="s">
        <v>47</v>
      </c>
      <c r="E1524" t="s">
        <v>50</v>
      </c>
      <c r="F1524" t="s">
        <v>49</v>
      </c>
      <c r="G1524" s="91">
        <v>105.853</v>
      </c>
      <c r="H1524" s="91"/>
      <c r="I1524" s="91">
        <v>60</v>
      </c>
      <c r="J1524" s="91">
        <v>6351.18</v>
      </c>
    </row>
    <row r="1525" spans="1:10">
      <c r="A1525" t="s">
        <v>1043</v>
      </c>
      <c r="B1525" t="s">
        <v>1044</v>
      </c>
      <c r="C1525" t="s">
        <v>20</v>
      </c>
      <c r="D1525" t="s">
        <v>61</v>
      </c>
      <c r="E1525" t="s">
        <v>78</v>
      </c>
      <c r="F1525" t="s">
        <v>49</v>
      </c>
      <c r="G1525" s="91">
        <v>98.773</v>
      </c>
      <c r="H1525" s="91"/>
      <c r="I1525" s="91">
        <v>95.0000506211212</v>
      </c>
      <c r="J1525" s="91">
        <v>9383.44</v>
      </c>
    </row>
    <row r="1526" spans="1:10">
      <c r="A1526" t="s">
        <v>1043</v>
      </c>
      <c r="B1526" t="s">
        <v>1044</v>
      </c>
      <c r="C1526" t="s">
        <v>20</v>
      </c>
      <c r="D1526" t="s">
        <v>61</v>
      </c>
      <c r="E1526" t="s">
        <v>607</v>
      </c>
      <c r="F1526" t="s">
        <v>23</v>
      </c>
      <c r="G1526" s="91">
        <v>39.509</v>
      </c>
      <c r="H1526" s="91"/>
      <c r="I1526" s="91">
        <v>115.200080994204</v>
      </c>
      <c r="J1526" s="91">
        <v>4551.44</v>
      </c>
    </row>
    <row r="1527" spans="1:10">
      <c r="A1527" t="s">
        <v>1043</v>
      </c>
      <c r="B1527" t="s">
        <v>1044</v>
      </c>
      <c r="C1527" t="s">
        <v>20</v>
      </c>
      <c r="D1527" t="s">
        <v>84</v>
      </c>
      <c r="E1527" t="s">
        <v>86</v>
      </c>
      <c r="F1527" t="s">
        <v>49</v>
      </c>
      <c r="G1527" s="91">
        <v>70.569</v>
      </c>
      <c r="H1527" s="91"/>
      <c r="I1527" s="91">
        <v>60</v>
      </c>
      <c r="J1527" s="91">
        <v>4234.14</v>
      </c>
    </row>
    <row r="1528" spans="1:10">
      <c r="A1528" t="s">
        <v>1043</v>
      </c>
      <c r="B1528" t="s">
        <v>1044</v>
      </c>
      <c r="C1528" t="s">
        <v>20</v>
      </c>
      <c r="D1528" t="s">
        <v>84</v>
      </c>
      <c r="E1528" t="s">
        <v>88</v>
      </c>
      <c r="F1528" t="s">
        <v>49</v>
      </c>
      <c r="G1528" s="91">
        <v>141.137</v>
      </c>
      <c r="H1528" s="91"/>
      <c r="I1528" s="91">
        <v>60</v>
      </c>
      <c r="J1528" s="91">
        <v>8468.22</v>
      </c>
    </row>
    <row r="1529" spans="1:10">
      <c r="A1529" t="s">
        <v>1043</v>
      </c>
      <c r="B1529" t="s">
        <v>1044</v>
      </c>
      <c r="C1529" t="s">
        <v>20</v>
      </c>
      <c r="D1529" t="s">
        <v>84</v>
      </c>
      <c r="E1529" t="s">
        <v>89</v>
      </c>
      <c r="F1529" t="s">
        <v>49</v>
      </c>
      <c r="G1529" s="91">
        <v>141.137</v>
      </c>
      <c r="H1529" s="91"/>
      <c r="I1529" s="91">
        <v>60</v>
      </c>
      <c r="J1529" s="91">
        <v>8468.22</v>
      </c>
    </row>
    <row r="1530" spans="1:10">
      <c r="A1530" t="s">
        <v>1043</v>
      </c>
      <c r="B1530" t="s">
        <v>1044</v>
      </c>
      <c r="C1530" t="s">
        <v>20</v>
      </c>
      <c r="D1530" t="s">
        <v>84</v>
      </c>
      <c r="E1530" t="s">
        <v>608</v>
      </c>
      <c r="F1530" t="s">
        <v>100</v>
      </c>
      <c r="G1530" s="91">
        <v>4745.74</v>
      </c>
      <c r="H1530" s="91"/>
      <c r="I1530" s="91">
        <v>67</v>
      </c>
      <c r="J1530" s="91">
        <v>317964.58</v>
      </c>
    </row>
    <row r="1531" spans="1:10">
      <c r="A1531" t="s">
        <v>1043</v>
      </c>
      <c r="B1531" t="s">
        <v>1044</v>
      </c>
      <c r="C1531" t="s">
        <v>20</v>
      </c>
      <c r="D1531" t="s">
        <v>84</v>
      </c>
      <c r="E1531" t="s">
        <v>609</v>
      </c>
      <c r="F1531" t="s">
        <v>63</v>
      </c>
      <c r="G1531" s="91">
        <v>141.137</v>
      </c>
      <c r="H1531" s="91"/>
      <c r="I1531" s="91">
        <v>135.000035426571</v>
      </c>
      <c r="J1531" s="91">
        <v>19053.5</v>
      </c>
    </row>
    <row r="1532" spans="1:10">
      <c r="A1532" t="s">
        <v>1043</v>
      </c>
      <c r="B1532" t="s">
        <v>1044</v>
      </c>
      <c r="C1532" t="s">
        <v>20</v>
      </c>
      <c r="D1532" t="s">
        <v>84</v>
      </c>
      <c r="E1532" t="s">
        <v>610</v>
      </c>
      <c r="F1532" t="s">
        <v>611</v>
      </c>
      <c r="G1532" s="91">
        <v>324.616</v>
      </c>
      <c r="H1532" s="91"/>
      <c r="I1532" s="91">
        <v>395</v>
      </c>
      <c r="J1532" s="91">
        <v>128223.32</v>
      </c>
    </row>
    <row r="1533" spans="1:10">
      <c r="A1533" t="s">
        <v>1043</v>
      </c>
      <c r="B1533" t="s">
        <v>1044</v>
      </c>
      <c r="C1533" t="s">
        <v>20</v>
      </c>
      <c r="D1533" t="s">
        <v>84</v>
      </c>
      <c r="E1533" t="s">
        <v>612</v>
      </c>
      <c r="F1533" t="s">
        <v>611</v>
      </c>
      <c r="G1533" s="91">
        <v>254.047</v>
      </c>
      <c r="H1533" s="91"/>
      <c r="I1533" s="91">
        <v>295.000019681398</v>
      </c>
      <c r="J1533" s="91">
        <v>74943.87</v>
      </c>
    </row>
    <row r="1534" spans="1:10">
      <c r="A1534" t="s">
        <v>1045</v>
      </c>
      <c r="B1534" t="s">
        <v>1046</v>
      </c>
      <c r="C1534" t="s">
        <v>20</v>
      </c>
      <c r="D1534" t="s">
        <v>47</v>
      </c>
      <c r="E1534" t="s">
        <v>48</v>
      </c>
      <c r="F1534" t="s">
        <v>49</v>
      </c>
      <c r="G1534" s="91">
        <v>1975.332</v>
      </c>
      <c r="H1534" s="91"/>
      <c r="I1534" s="91">
        <v>75</v>
      </c>
      <c r="J1534" s="91">
        <v>148149.9</v>
      </c>
    </row>
    <row r="1535" spans="1:10">
      <c r="A1535" t="s">
        <v>1045</v>
      </c>
      <c r="B1535" t="s">
        <v>1046</v>
      </c>
      <c r="C1535" t="s">
        <v>20</v>
      </c>
      <c r="D1535" t="s">
        <v>624</v>
      </c>
      <c r="E1535" t="s">
        <v>625</v>
      </c>
      <c r="F1535" t="s">
        <v>23</v>
      </c>
      <c r="G1535" s="91">
        <v>4938.33</v>
      </c>
      <c r="H1535" s="91"/>
      <c r="I1535" s="91">
        <v>0.799999190009578</v>
      </c>
      <c r="J1535" s="91">
        <v>3950.66</v>
      </c>
    </row>
    <row r="1536" spans="1:10">
      <c r="A1536" t="s">
        <v>1045</v>
      </c>
      <c r="B1536" t="s">
        <v>1046</v>
      </c>
      <c r="C1536" t="s">
        <v>20</v>
      </c>
      <c r="D1536" t="s">
        <v>624</v>
      </c>
      <c r="E1536" t="s">
        <v>626</v>
      </c>
      <c r="F1536" t="s">
        <v>23</v>
      </c>
      <c r="G1536" s="91">
        <v>4938.33</v>
      </c>
      <c r="H1536" s="91"/>
      <c r="I1536" s="91">
        <v>0.900000607492816</v>
      </c>
      <c r="J1536" s="91">
        <v>4444.5</v>
      </c>
    </row>
    <row r="1537" spans="1:10">
      <c r="A1537" t="s">
        <v>1045</v>
      </c>
      <c r="B1537" t="s">
        <v>1046</v>
      </c>
      <c r="C1537" t="s">
        <v>20</v>
      </c>
      <c r="D1537" t="s">
        <v>624</v>
      </c>
      <c r="E1537" t="s">
        <v>627</v>
      </c>
      <c r="F1537" t="s">
        <v>23</v>
      </c>
      <c r="G1537" s="91">
        <v>4938.33</v>
      </c>
      <c r="H1537" s="91"/>
      <c r="I1537" s="91">
        <v>3.09999939250718</v>
      </c>
      <c r="J1537" s="91">
        <v>15308.82</v>
      </c>
    </row>
    <row r="1538" spans="1:10">
      <c r="A1538" t="s">
        <v>1045</v>
      </c>
      <c r="B1538" t="s">
        <v>1046</v>
      </c>
      <c r="C1538" t="s">
        <v>20</v>
      </c>
      <c r="D1538" t="s">
        <v>624</v>
      </c>
      <c r="E1538" t="s">
        <v>628</v>
      </c>
      <c r="F1538" t="s">
        <v>23</v>
      </c>
      <c r="G1538" s="91">
        <v>6172.912</v>
      </c>
      <c r="H1538" s="91"/>
      <c r="I1538" s="91">
        <v>0</v>
      </c>
      <c r="J1538" s="91">
        <v>0</v>
      </c>
    </row>
    <row r="1539" spans="1:10">
      <c r="A1539" t="s">
        <v>1045</v>
      </c>
      <c r="B1539" t="s">
        <v>1046</v>
      </c>
      <c r="C1539" t="s">
        <v>20</v>
      </c>
      <c r="D1539" t="s">
        <v>624</v>
      </c>
      <c r="E1539" t="s">
        <v>629</v>
      </c>
      <c r="F1539" t="s">
        <v>23</v>
      </c>
      <c r="G1539" s="91">
        <v>2469.165</v>
      </c>
      <c r="H1539" s="91"/>
      <c r="I1539" s="91">
        <v>6.49999898751197</v>
      </c>
      <c r="J1539" s="91">
        <v>16049.57</v>
      </c>
    </row>
    <row r="1540" spans="1:10">
      <c r="A1540" t="s">
        <v>1045</v>
      </c>
      <c r="B1540" t="s">
        <v>1046</v>
      </c>
      <c r="C1540" t="s">
        <v>11</v>
      </c>
      <c r="D1540" t="s">
        <v>630</v>
      </c>
      <c r="E1540" t="s">
        <v>631</v>
      </c>
      <c r="F1540" t="s">
        <v>17</v>
      </c>
      <c r="G1540" s="91">
        <v>164.611</v>
      </c>
      <c r="H1540" s="91"/>
      <c r="I1540" s="91">
        <v>9380</v>
      </c>
      <c r="J1540" s="91">
        <v>1544051.18</v>
      </c>
    </row>
    <row r="1541" spans="1:10">
      <c r="A1541" t="s">
        <v>1047</v>
      </c>
      <c r="B1541" t="s">
        <v>1048</v>
      </c>
      <c r="C1541" t="s">
        <v>11</v>
      </c>
      <c r="D1541" t="s">
        <v>12</v>
      </c>
      <c r="E1541" t="s">
        <v>13</v>
      </c>
      <c r="F1541" t="s">
        <v>14</v>
      </c>
      <c r="G1541" s="91">
        <v>11.776</v>
      </c>
      <c r="H1541" s="91"/>
      <c r="I1541" s="91">
        <v>450</v>
      </c>
      <c r="J1541" s="91">
        <v>5299.2</v>
      </c>
    </row>
    <row r="1542" spans="1:10">
      <c r="A1542" t="s">
        <v>1047</v>
      </c>
      <c r="B1542" t="s">
        <v>1048</v>
      </c>
      <c r="C1542" t="s">
        <v>11</v>
      </c>
      <c r="D1542" t="s">
        <v>12</v>
      </c>
      <c r="E1542" t="s">
        <v>15</v>
      </c>
      <c r="F1542" t="s">
        <v>14</v>
      </c>
      <c r="G1542" s="91">
        <v>1.84</v>
      </c>
      <c r="H1542" s="91"/>
      <c r="I1542" s="91">
        <v>600</v>
      </c>
      <c r="J1542" s="91">
        <v>1104</v>
      </c>
    </row>
    <row r="1543" spans="1:10">
      <c r="A1543" t="s">
        <v>1047</v>
      </c>
      <c r="B1543" t="s">
        <v>1048</v>
      </c>
      <c r="C1543" t="s">
        <v>11</v>
      </c>
      <c r="D1543" t="s">
        <v>12</v>
      </c>
      <c r="E1543" t="s">
        <v>28</v>
      </c>
      <c r="F1543" t="s">
        <v>14</v>
      </c>
      <c r="G1543" s="91">
        <v>0.552</v>
      </c>
      <c r="H1543" s="91"/>
      <c r="I1543" s="91">
        <v>600</v>
      </c>
      <c r="J1543" s="91">
        <v>331.2</v>
      </c>
    </row>
    <row r="1544" spans="1:10">
      <c r="A1544" t="s">
        <v>1047</v>
      </c>
      <c r="B1544" t="s">
        <v>1048</v>
      </c>
      <c r="C1544" t="s">
        <v>20</v>
      </c>
      <c r="D1544" t="s">
        <v>106</v>
      </c>
      <c r="E1544" t="s">
        <v>107</v>
      </c>
      <c r="F1544" t="s">
        <v>108</v>
      </c>
      <c r="G1544" s="91">
        <v>22.521</v>
      </c>
      <c r="H1544" s="91"/>
      <c r="I1544" s="91">
        <v>3361.999911194</v>
      </c>
      <c r="J1544" s="91">
        <v>75715.6</v>
      </c>
    </row>
    <row r="1545" spans="1:10">
      <c r="A1545" t="s">
        <v>1047</v>
      </c>
      <c r="B1545" t="s">
        <v>1048</v>
      </c>
      <c r="C1545" t="s">
        <v>20</v>
      </c>
      <c r="D1545" t="s">
        <v>596</v>
      </c>
      <c r="E1545" t="s">
        <v>597</v>
      </c>
      <c r="F1545" t="s">
        <v>46</v>
      </c>
      <c r="G1545" s="91">
        <v>5.189</v>
      </c>
      <c r="H1545" s="91"/>
      <c r="I1545" s="91">
        <v>2200</v>
      </c>
      <c r="J1545" s="91">
        <v>11415.8</v>
      </c>
    </row>
    <row r="1546" spans="1:10">
      <c r="A1546" t="s">
        <v>1049</v>
      </c>
      <c r="B1546" t="s">
        <v>1050</v>
      </c>
      <c r="C1546" t="s">
        <v>11</v>
      </c>
      <c r="D1546" t="s">
        <v>12</v>
      </c>
      <c r="E1546" t="s">
        <v>13</v>
      </c>
      <c r="F1546" t="s">
        <v>14</v>
      </c>
      <c r="G1546" s="91">
        <v>11.776</v>
      </c>
      <c r="H1546" s="91"/>
      <c r="I1546" s="91">
        <v>450</v>
      </c>
      <c r="J1546" s="91">
        <v>5299.2</v>
      </c>
    </row>
    <row r="1547" spans="1:10">
      <c r="A1547" t="s">
        <v>1049</v>
      </c>
      <c r="B1547" t="s">
        <v>1050</v>
      </c>
      <c r="C1547" t="s">
        <v>11</v>
      </c>
      <c r="D1547" t="s">
        <v>12</v>
      </c>
      <c r="E1547" t="s">
        <v>15</v>
      </c>
      <c r="F1547" t="s">
        <v>14</v>
      </c>
      <c r="G1547" s="91">
        <v>1.84</v>
      </c>
      <c r="H1547" s="91"/>
      <c r="I1547" s="91">
        <v>600</v>
      </c>
      <c r="J1547" s="91">
        <v>1104</v>
      </c>
    </row>
    <row r="1548" spans="1:10">
      <c r="A1548" t="s">
        <v>1049</v>
      </c>
      <c r="B1548" t="s">
        <v>1050</v>
      </c>
      <c r="C1548" t="s">
        <v>11</v>
      </c>
      <c r="D1548" t="s">
        <v>12</v>
      </c>
      <c r="E1548" t="s">
        <v>28</v>
      </c>
      <c r="F1548" t="s">
        <v>14</v>
      </c>
      <c r="G1548" s="91">
        <v>0.552</v>
      </c>
      <c r="H1548" s="91"/>
      <c r="I1548" s="91">
        <v>600</v>
      </c>
      <c r="J1548" s="91">
        <v>331.2</v>
      </c>
    </row>
    <row r="1549" spans="1:10">
      <c r="A1549" t="s">
        <v>1049</v>
      </c>
      <c r="B1549" t="s">
        <v>1050</v>
      </c>
      <c r="C1549" t="s">
        <v>20</v>
      </c>
      <c r="D1549" t="s">
        <v>106</v>
      </c>
      <c r="E1549" t="s">
        <v>107</v>
      </c>
      <c r="F1549" t="s">
        <v>108</v>
      </c>
      <c r="G1549" s="91">
        <v>37.535</v>
      </c>
      <c r="H1549" s="91"/>
      <c r="I1549" s="91">
        <v>3362</v>
      </c>
      <c r="J1549" s="91">
        <v>126192.67</v>
      </c>
    </row>
    <row r="1550" spans="1:10">
      <c r="A1550" t="s">
        <v>1051</v>
      </c>
      <c r="B1550" t="s">
        <v>1052</v>
      </c>
      <c r="C1550" t="s">
        <v>11</v>
      </c>
      <c r="D1550" t="s">
        <v>665</v>
      </c>
      <c r="E1550" t="s">
        <v>666</v>
      </c>
      <c r="F1550" t="s">
        <v>34</v>
      </c>
      <c r="G1550" s="91">
        <v>26371.031</v>
      </c>
      <c r="H1550" s="91"/>
      <c r="I1550" s="91">
        <v>33.3099999010278</v>
      </c>
      <c r="J1550" s="91">
        <v>878419.04</v>
      </c>
    </row>
    <row r="1551" spans="1:10">
      <c r="A1551" t="s">
        <v>1051</v>
      </c>
      <c r="B1551" t="s">
        <v>1052</v>
      </c>
      <c r="C1551" t="s">
        <v>11</v>
      </c>
      <c r="D1551" t="s">
        <v>12</v>
      </c>
      <c r="E1551" t="s">
        <v>13</v>
      </c>
      <c r="F1551" t="s">
        <v>14</v>
      </c>
      <c r="G1551" s="91">
        <v>1339.481</v>
      </c>
      <c r="H1551" s="91"/>
      <c r="I1551" s="91">
        <v>450</v>
      </c>
      <c r="J1551" s="91">
        <v>602766.45</v>
      </c>
    </row>
    <row r="1552" spans="1:10">
      <c r="A1552" t="s">
        <v>1051</v>
      </c>
      <c r="B1552" t="s">
        <v>1052</v>
      </c>
      <c r="C1552" t="s">
        <v>11</v>
      </c>
      <c r="D1552" t="s">
        <v>12</v>
      </c>
      <c r="E1552" t="s">
        <v>15</v>
      </c>
      <c r="F1552" t="s">
        <v>14</v>
      </c>
      <c r="G1552" s="91">
        <v>209.294</v>
      </c>
      <c r="H1552" s="91"/>
      <c r="I1552" s="91">
        <v>600</v>
      </c>
      <c r="J1552" s="91">
        <v>125576.4</v>
      </c>
    </row>
    <row r="1553" spans="1:10">
      <c r="A1553" t="s">
        <v>1051</v>
      </c>
      <c r="B1553" t="s">
        <v>1052</v>
      </c>
      <c r="C1553" t="s">
        <v>11</v>
      </c>
      <c r="D1553" t="s">
        <v>12</v>
      </c>
      <c r="E1553" t="s">
        <v>28</v>
      </c>
      <c r="F1553" t="s">
        <v>14</v>
      </c>
      <c r="G1553" s="91">
        <v>62.788</v>
      </c>
      <c r="H1553" s="91"/>
      <c r="I1553" s="91">
        <v>600</v>
      </c>
      <c r="J1553" s="91">
        <v>37672.8</v>
      </c>
    </row>
    <row r="1554" spans="1:10">
      <c r="A1554" t="s">
        <v>1051</v>
      </c>
      <c r="B1554" t="s">
        <v>1052</v>
      </c>
      <c r="C1554" t="s">
        <v>20</v>
      </c>
      <c r="D1554" t="s">
        <v>59</v>
      </c>
      <c r="E1554" t="s">
        <v>667</v>
      </c>
      <c r="F1554" t="s">
        <v>49</v>
      </c>
      <c r="G1554" s="91">
        <v>3976.584</v>
      </c>
      <c r="H1554" s="91"/>
      <c r="I1554" s="91">
        <v>42.0000005029442</v>
      </c>
      <c r="J1554" s="91">
        <v>167016.53</v>
      </c>
    </row>
    <row r="1555" spans="1:10">
      <c r="A1555" t="s">
        <v>1051</v>
      </c>
      <c r="B1555" t="s">
        <v>1052</v>
      </c>
      <c r="C1555" t="s">
        <v>20</v>
      </c>
      <c r="D1555" t="s">
        <v>59</v>
      </c>
      <c r="E1555" t="s">
        <v>668</v>
      </c>
      <c r="F1555" t="s">
        <v>49</v>
      </c>
      <c r="G1555" s="91">
        <v>5357.924</v>
      </c>
      <c r="H1555" s="91"/>
      <c r="I1555" s="91">
        <v>15</v>
      </c>
      <c r="J1555" s="91">
        <v>80368.86</v>
      </c>
    </row>
    <row r="1556" spans="1:10">
      <c r="A1556" t="s">
        <v>1051</v>
      </c>
      <c r="B1556" t="s">
        <v>1052</v>
      </c>
      <c r="C1556" t="s">
        <v>20</v>
      </c>
      <c r="D1556" t="s">
        <v>59</v>
      </c>
      <c r="E1556" t="s">
        <v>60</v>
      </c>
      <c r="F1556" t="s">
        <v>49</v>
      </c>
      <c r="G1556" s="91">
        <v>2352.463</v>
      </c>
      <c r="H1556" s="91"/>
      <c r="I1556" s="91">
        <v>16.9999995749136</v>
      </c>
      <c r="J1556" s="91">
        <v>39991.87</v>
      </c>
    </row>
    <row r="1557" spans="1:10">
      <c r="A1557" t="s">
        <v>1051</v>
      </c>
      <c r="B1557" t="s">
        <v>1052</v>
      </c>
      <c r="C1557" t="s">
        <v>20</v>
      </c>
      <c r="D1557" t="s">
        <v>106</v>
      </c>
      <c r="E1557" t="s">
        <v>838</v>
      </c>
      <c r="F1557" t="s">
        <v>108</v>
      </c>
      <c r="G1557" s="91">
        <v>4269.596</v>
      </c>
      <c r="H1557" s="91"/>
      <c r="I1557" s="91">
        <v>5700</v>
      </c>
      <c r="J1557" s="91">
        <v>24336697.2</v>
      </c>
    </row>
    <row r="1558" spans="1:10">
      <c r="A1558" t="s">
        <v>1053</v>
      </c>
      <c r="B1558" t="s">
        <v>1054</v>
      </c>
      <c r="C1558" t="s">
        <v>11</v>
      </c>
      <c r="D1558" t="s">
        <v>12</v>
      </c>
      <c r="E1558" t="s">
        <v>13</v>
      </c>
      <c r="F1558" t="s">
        <v>14</v>
      </c>
      <c r="G1558" s="91">
        <v>2240.228</v>
      </c>
      <c r="H1558" s="91"/>
      <c r="I1558" s="91">
        <v>450</v>
      </c>
      <c r="J1558" s="91">
        <v>1008102.6</v>
      </c>
    </row>
    <row r="1559" spans="1:10">
      <c r="A1559" t="s">
        <v>1053</v>
      </c>
      <c r="B1559" t="s">
        <v>1054</v>
      </c>
      <c r="C1559" t="s">
        <v>11</v>
      </c>
      <c r="D1559" t="s">
        <v>12</v>
      </c>
      <c r="E1559" t="s">
        <v>15</v>
      </c>
      <c r="F1559" t="s">
        <v>14</v>
      </c>
      <c r="G1559" s="91">
        <v>350.036</v>
      </c>
      <c r="H1559" s="91"/>
      <c r="I1559" s="91">
        <v>600</v>
      </c>
      <c r="J1559" s="91">
        <v>210021.6</v>
      </c>
    </row>
    <row r="1560" spans="1:10">
      <c r="A1560" t="s">
        <v>1053</v>
      </c>
      <c r="B1560" t="s">
        <v>1054</v>
      </c>
      <c r="C1560" t="s">
        <v>11</v>
      </c>
      <c r="D1560" t="s">
        <v>12</v>
      </c>
      <c r="E1560" t="s">
        <v>28</v>
      </c>
      <c r="F1560" t="s">
        <v>14</v>
      </c>
      <c r="G1560" s="91">
        <v>105.011</v>
      </c>
      <c r="H1560" s="91"/>
      <c r="I1560" s="91">
        <v>600</v>
      </c>
      <c r="J1560" s="91">
        <v>63006.6</v>
      </c>
    </row>
    <row r="1561" spans="1:10">
      <c r="A1561" t="s">
        <v>1053</v>
      </c>
      <c r="B1561" t="s">
        <v>1054</v>
      </c>
      <c r="C1561" t="s">
        <v>20</v>
      </c>
      <c r="D1561" t="s">
        <v>59</v>
      </c>
      <c r="E1561" t="s">
        <v>667</v>
      </c>
      <c r="F1561" t="s">
        <v>49</v>
      </c>
      <c r="G1561" s="91">
        <v>6650.678</v>
      </c>
      <c r="H1561" s="91"/>
      <c r="I1561" s="91">
        <v>42.0000006014424</v>
      </c>
      <c r="J1561" s="91">
        <v>279328.48</v>
      </c>
    </row>
    <row r="1562" spans="1:10">
      <c r="A1562" t="s">
        <v>1053</v>
      </c>
      <c r="B1562" t="s">
        <v>1054</v>
      </c>
      <c r="C1562" t="s">
        <v>20</v>
      </c>
      <c r="D1562" t="s">
        <v>59</v>
      </c>
      <c r="E1562" t="s">
        <v>668</v>
      </c>
      <c r="F1562" t="s">
        <v>49</v>
      </c>
      <c r="G1562" s="91">
        <v>8960.914</v>
      </c>
      <c r="H1562" s="91"/>
      <c r="I1562" s="91">
        <v>15</v>
      </c>
      <c r="J1562" s="91">
        <v>134413.71</v>
      </c>
    </row>
    <row r="1563" spans="1:10">
      <c r="A1563" t="s">
        <v>1053</v>
      </c>
      <c r="B1563" t="s">
        <v>1054</v>
      </c>
      <c r="C1563" t="s">
        <v>20</v>
      </c>
      <c r="D1563" t="s">
        <v>59</v>
      </c>
      <c r="E1563" t="s">
        <v>60</v>
      </c>
      <c r="F1563" t="s">
        <v>49</v>
      </c>
      <c r="G1563" s="91">
        <v>3934.401</v>
      </c>
      <c r="H1563" s="91"/>
      <c r="I1563" s="91">
        <v>17.0000007625049</v>
      </c>
      <c r="J1563" s="91">
        <v>66884.82</v>
      </c>
    </row>
    <row r="1564" spans="1:10">
      <c r="A1564" t="s">
        <v>1053</v>
      </c>
      <c r="B1564" t="s">
        <v>1054</v>
      </c>
      <c r="C1564" t="s">
        <v>20</v>
      </c>
      <c r="D1564" t="s">
        <v>106</v>
      </c>
      <c r="E1564" t="s">
        <v>873</v>
      </c>
      <c r="F1564" t="s">
        <v>108</v>
      </c>
      <c r="G1564" s="91">
        <v>7140.728</v>
      </c>
      <c r="H1564" s="91"/>
      <c r="I1564" s="91">
        <v>6000</v>
      </c>
      <c r="J1564" s="91">
        <v>42844368</v>
      </c>
    </row>
    <row r="1565" spans="1:10">
      <c r="A1565" t="s">
        <v>1055</v>
      </c>
      <c r="B1565" t="s">
        <v>1056</v>
      </c>
      <c r="C1565" t="s">
        <v>11</v>
      </c>
      <c r="D1565" t="s">
        <v>24</v>
      </c>
      <c r="E1565" t="s">
        <v>604</v>
      </c>
      <c r="F1565" t="s">
        <v>34</v>
      </c>
      <c r="G1565" s="91">
        <v>34986.638</v>
      </c>
      <c r="H1565" s="91"/>
      <c r="I1565" s="91">
        <v>50</v>
      </c>
      <c r="J1565" s="91">
        <v>1749331.9</v>
      </c>
    </row>
    <row r="1566" spans="1:10">
      <c r="A1566" t="s">
        <v>1055</v>
      </c>
      <c r="B1566" t="s">
        <v>1056</v>
      </c>
      <c r="C1566" t="s">
        <v>11</v>
      </c>
      <c r="D1566" t="s">
        <v>24</v>
      </c>
      <c r="E1566" t="s">
        <v>605</v>
      </c>
      <c r="F1566" t="s">
        <v>34</v>
      </c>
      <c r="G1566" s="91">
        <v>7147.77</v>
      </c>
      <c r="H1566" s="91"/>
      <c r="I1566" s="91">
        <v>80</v>
      </c>
      <c r="J1566" s="91">
        <v>571821.6</v>
      </c>
    </row>
    <row r="1567" spans="1:10">
      <c r="A1567" t="s">
        <v>1055</v>
      </c>
      <c r="B1567" t="s">
        <v>1056</v>
      </c>
      <c r="C1567" t="s">
        <v>11</v>
      </c>
      <c r="D1567" t="s">
        <v>24</v>
      </c>
      <c r="E1567" t="s">
        <v>606</v>
      </c>
      <c r="F1567" t="s">
        <v>34</v>
      </c>
      <c r="G1567" s="91">
        <v>34986.638</v>
      </c>
      <c r="H1567" s="91"/>
      <c r="I1567" s="91">
        <v>272.000000114329</v>
      </c>
      <c r="J1567" s="91">
        <v>9516365.54</v>
      </c>
    </row>
    <row r="1568" spans="1:10">
      <c r="A1568" t="s">
        <v>1055</v>
      </c>
      <c r="B1568" t="s">
        <v>1056</v>
      </c>
      <c r="C1568" t="s">
        <v>20</v>
      </c>
      <c r="D1568" t="s">
        <v>47</v>
      </c>
      <c r="E1568" t="s">
        <v>50</v>
      </c>
      <c r="F1568" t="s">
        <v>49</v>
      </c>
      <c r="G1568" s="91">
        <v>1399.466</v>
      </c>
      <c r="H1568" s="91"/>
      <c r="I1568" s="91">
        <v>60</v>
      </c>
      <c r="J1568" s="91">
        <v>83967.96</v>
      </c>
    </row>
    <row r="1569" spans="1:10">
      <c r="A1569" t="s">
        <v>1055</v>
      </c>
      <c r="B1569" t="s">
        <v>1056</v>
      </c>
      <c r="C1569" t="s">
        <v>20</v>
      </c>
      <c r="D1569" t="s">
        <v>61</v>
      </c>
      <c r="E1569" t="s">
        <v>78</v>
      </c>
      <c r="F1569" t="s">
        <v>49</v>
      </c>
      <c r="G1569" s="91">
        <v>979.394</v>
      </c>
      <c r="H1569" s="91"/>
      <c r="I1569" s="91">
        <v>135</v>
      </c>
      <c r="J1569" s="91">
        <v>132218.19</v>
      </c>
    </row>
    <row r="1570" spans="1:10">
      <c r="A1570" t="s">
        <v>1055</v>
      </c>
      <c r="B1570" t="s">
        <v>1056</v>
      </c>
      <c r="C1570" t="s">
        <v>20</v>
      </c>
      <c r="D1570" t="s">
        <v>61</v>
      </c>
      <c r="E1570" t="s">
        <v>607</v>
      </c>
      <c r="F1570" t="s">
        <v>23</v>
      </c>
      <c r="G1570" s="91">
        <v>391.758</v>
      </c>
      <c r="H1570" s="91"/>
      <c r="I1570" s="91">
        <v>115.199995915846</v>
      </c>
      <c r="J1570" s="91">
        <v>45130.52</v>
      </c>
    </row>
    <row r="1571" spans="1:10">
      <c r="A1571" t="s">
        <v>1055</v>
      </c>
      <c r="B1571" t="s">
        <v>1056</v>
      </c>
      <c r="C1571" t="s">
        <v>20</v>
      </c>
      <c r="D1571" t="s">
        <v>84</v>
      </c>
      <c r="E1571" t="s">
        <v>86</v>
      </c>
      <c r="F1571" t="s">
        <v>49</v>
      </c>
      <c r="G1571" s="91">
        <v>699.733</v>
      </c>
      <c r="H1571" s="91"/>
      <c r="I1571" s="91">
        <v>60</v>
      </c>
      <c r="J1571" s="91">
        <v>41983.98</v>
      </c>
    </row>
    <row r="1572" spans="1:10">
      <c r="A1572" t="s">
        <v>1055</v>
      </c>
      <c r="B1572" t="s">
        <v>1056</v>
      </c>
      <c r="C1572" t="s">
        <v>20</v>
      </c>
      <c r="D1572" t="s">
        <v>84</v>
      </c>
      <c r="E1572" t="s">
        <v>88</v>
      </c>
      <c r="F1572" t="s">
        <v>49</v>
      </c>
      <c r="G1572" s="91">
        <v>699.733</v>
      </c>
      <c r="H1572" s="91"/>
      <c r="I1572" s="91">
        <v>60</v>
      </c>
      <c r="J1572" s="91">
        <v>41983.98</v>
      </c>
    </row>
    <row r="1573" spans="1:10">
      <c r="A1573" t="s">
        <v>1055</v>
      </c>
      <c r="B1573" t="s">
        <v>1056</v>
      </c>
      <c r="C1573" t="s">
        <v>20</v>
      </c>
      <c r="D1573" t="s">
        <v>84</v>
      </c>
      <c r="E1573" t="s">
        <v>89</v>
      </c>
      <c r="F1573" t="s">
        <v>49</v>
      </c>
      <c r="G1573" s="91">
        <v>1399.466</v>
      </c>
      <c r="H1573" s="91"/>
      <c r="I1573" s="91">
        <v>60</v>
      </c>
      <c r="J1573" s="91">
        <v>83967.96</v>
      </c>
    </row>
    <row r="1574" spans="1:10">
      <c r="A1574" t="s">
        <v>1055</v>
      </c>
      <c r="B1574" t="s">
        <v>1056</v>
      </c>
      <c r="C1574" t="s">
        <v>20</v>
      </c>
      <c r="D1574" t="s">
        <v>84</v>
      </c>
      <c r="E1574" t="s">
        <v>608</v>
      </c>
      <c r="F1574" t="s">
        <v>100</v>
      </c>
      <c r="G1574" s="91">
        <v>47057.028</v>
      </c>
      <c r="H1574" s="91"/>
      <c r="I1574" s="91">
        <v>67.0000000850032</v>
      </c>
      <c r="J1574" s="91">
        <v>3152820.88</v>
      </c>
    </row>
    <row r="1575" spans="1:10">
      <c r="A1575" t="s">
        <v>1055</v>
      </c>
      <c r="B1575" t="s">
        <v>1056</v>
      </c>
      <c r="C1575" t="s">
        <v>20</v>
      </c>
      <c r="D1575" t="s">
        <v>84</v>
      </c>
      <c r="E1575" t="s">
        <v>609</v>
      </c>
      <c r="F1575" t="s">
        <v>63</v>
      </c>
      <c r="G1575" s="91">
        <v>1399.466</v>
      </c>
      <c r="H1575" s="91"/>
      <c r="I1575" s="91">
        <v>135</v>
      </c>
      <c r="J1575" s="91">
        <v>188927.91</v>
      </c>
    </row>
    <row r="1576" spans="1:10">
      <c r="A1576" t="s">
        <v>1055</v>
      </c>
      <c r="B1576" t="s">
        <v>1056</v>
      </c>
      <c r="C1576" t="s">
        <v>20</v>
      </c>
      <c r="D1576" t="s">
        <v>84</v>
      </c>
      <c r="E1576" t="s">
        <v>610</v>
      </c>
      <c r="F1576" t="s">
        <v>611</v>
      </c>
      <c r="G1576" s="91">
        <v>3218.771</v>
      </c>
      <c r="H1576" s="91"/>
      <c r="I1576" s="91">
        <v>395.000001553388</v>
      </c>
      <c r="J1576" s="91">
        <v>1271414.55</v>
      </c>
    </row>
    <row r="1577" spans="1:10">
      <c r="A1577" t="s">
        <v>1055</v>
      </c>
      <c r="B1577" t="s">
        <v>1056</v>
      </c>
      <c r="C1577" t="s">
        <v>20</v>
      </c>
      <c r="D1577" t="s">
        <v>84</v>
      </c>
      <c r="E1577" t="s">
        <v>612</v>
      </c>
      <c r="F1577" t="s">
        <v>611</v>
      </c>
      <c r="G1577" s="91">
        <v>2519.038</v>
      </c>
      <c r="H1577" s="91"/>
      <c r="I1577" s="91">
        <v>295</v>
      </c>
      <c r="J1577" s="91">
        <v>743116.21</v>
      </c>
    </row>
    <row r="1578" spans="1:10">
      <c r="A1578" t="s">
        <v>1057</v>
      </c>
      <c r="B1578" t="s">
        <v>1058</v>
      </c>
      <c r="C1578" t="s">
        <v>20</v>
      </c>
      <c r="D1578" t="s">
        <v>47</v>
      </c>
      <c r="E1578" t="s">
        <v>48</v>
      </c>
      <c r="F1578" t="s">
        <v>49</v>
      </c>
      <c r="G1578" s="91">
        <v>13954.272</v>
      </c>
      <c r="H1578" s="91"/>
      <c r="I1578" s="91">
        <v>75</v>
      </c>
      <c r="J1578" s="91">
        <v>1046570.4</v>
      </c>
    </row>
    <row r="1579" spans="1:10">
      <c r="A1579" t="s">
        <v>1057</v>
      </c>
      <c r="B1579" t="s">
        <v>1058</v>
      </c>
      <c r="C1579" t="s">
        <v>20</v>
      </c>
      <c r="D1579" t="s">
        <v>624</v>
      </c>
      <c r="E1579" t="s">
        <v>625</v>
      </c>
      <c r="F1579" t="s">
        <v>23</v>
      </c>
      <c r="G1579" s="91">
        <v>34885.68</v>
      </c>
      <c r="H1579" s="91"/>
      <c r="I1579" s="91">
        <v>0.799999885339773</v>
      </c>
      <c r="J1579" s="91">
        <v>27908.54</v>
      </c>
    </row>
    <row r="1580" spans="1:10">
      <c r="A1580" t="s">
        <v>1057</v>
      </c>
      <c r="B1580" t="s">
        <v>1058</v>
      </c>
      <c r="C1580" t="s">
        <v>20</v>
      </c>
      <c r="D1580" t="s">
        <v>624</v>
      </c>
      <c r="E1580" t="s">
        <v>626</v>
      </c>
      <c r="F1580" t="s">
        <v>23</v>
      </c>
      <c r="G1580" s="91">
        <v>34885.68</v>
      </c>
      <c r="H1580" s="91"/>
      <c r="I1580" s="91">
        <v>0.899999942669886</v>
      </c>
      <c r="J1580" s="91">
        <v>31397.11</v>
      </c>
    </row>
    <row r="1581" spans="1:10">
      <c r="A1581" t="s">
        <v>1057</v>
      </c>
      <c r="B1581" t="s">
        <v>1058</v>
      </c>
      <c r="C1581" t="s">
        <v>20</v>
      </c>
      <c r="D1581" t="s">
        <v>624</v>
      </c>
      <c r="E1581" t="s">
        <v>627</v>
      </c>
      <c r="F1581" t="s">
        <v>23</v>
      </c>
      <c r="G1581" s="91">
        <v>34885.68</v>
      </c>
      <c r="H1581" s="91"/>
      <c r="I1581" s="91">
        <v>3.10000005733011</v>
      </c>
      <c r="J1581" s="91">
        <v>108145.61</v>
      </c>
    </row>
    <row r="1582" spans="1:10">
      <c r="A1582" t="s">
        <v>1057</v>
      </c>
      <c r="B1582" t="s">
        <v>1058</v>
      </c>
      <c r="C1582" t="s">
        <v>20</v>
      </c>
      <c r="D1582" t="s">
        <v>624</v>
      </c>
      <c r="E1582" t="s">
        <v>628</v>
      </c>
      <c r="F1582" t="s">
        <v>23</v>
      </c>
      <c r="G1582" s="91">
        <v>43607.1</v>
      </c>
      <c r="H1582" s="91"/>
      <c r="I1582" s="91">
        <v>3.1</v>
      </c>
      <c r="J1582" s="91">
        <v>135182.01</v>
      </c>
    </row>
    <row r="1583" spans="1:10">
      <c r="A1583" t="s">
        <v>1057</v>
      </c>
      <c r="B1583" t="s">
        <v>1058</v>
      </c>
      <c r="C1583" t="s">
        <v>20</v>
      </c>
      <c r="D1583" t="s">
        <v>624</v>
      </c>
      <c r="E1583" t="s">
        <v>629</v>
      </c>
      <c r="F1583" t="s">
        <v>23</v>
      </c>
      <c r="G1583" s="91">
        <v>17442.84</v>
      </c>
      <c r="H1583" s="91"/>
      <c r="I1583" s="91">
        <v>6.5</v>
      </c>
      <c r="J1583" s="91">
        <v>113378.46</v>
      </c>
    </row>
    <row r="1584" spans="1:10">
      <c r="A1584" t="s">
        <v>1057</v>
      </c>
      <c r="B1584" t="s">
        <v>1058</v>
      </c>
      <c r="C1584" t="s">
        <v>11</v>
      </c>
      <c r="D1584" t="s">
        <v>630</v>
      </c>
      <c r="E1584" t="s">
        <v>631</v>
      </c>
      <c r="F1584" t="s">
        <v>17</v>
      </c>
      <c r="G1584" s="91">
        <v>1162.856</v>
      </c>
      <c r="H1584" s="91"/>
      <c r="I1584" s="91">
        <v>9380</v>
      </c>
      <c r="J1584" s="91">
        <v>10907589.28</v>
      </c>
    </row>
    <row r="1585" spans="1:10">
      <c r="A1585" t="s">
        <v>1059</v>
      </c>
      <c r="B1585" t="s">
        <v>1060</v>
      </c>
      <c r="C1585" t="s">
        <v>20</v>
      </c>
      <c r="D1585" t="s">
        <v>102</v>
      </c>
      <c r="E1585" t="s">
        <v>103</v>
      </c>
      <c r="F1585" t="s">
        <v>46</v>
      </c>
      <c r="G1585" s="91">
        <v>27.667</v>
      </c>
      <c r="H1585" s="91"/>
      <c r="I1585" s="91">
        <v>800</v>
      </c>
      <c r="J1585" s="91">
        <v>22133.6</v>
      </c>
    </row>
    <row r="1586" spans="1:10">
      <c r="A1586" t="s">
        <v>1059</v>
      </c>
      <c r="B1586" t="s">
        <v>1060</v>
      </c>
      <c r="C1586" t="s">
        <v>20</v>
      </c>
      <c r="D1586" t="s">
        <v>596</v>
      </c>
      <c r="E1586" t="s">
        <v>597</v>
      </c>
      <c r="F1586" t="s">
        <v>46</v>
      </c>
      <c r="G1586" s="91">
        <v>143.807</v>
      </c>
      <c r="H1586" s="91"/>
      <c r="I1586" s="91">
        <v>2200</v>
      </c>
      <c r="J1586" s="91">
        <v>316375.4</v>
      </c>
    </row>
    <row r="1587" spans="1:10">
      <c r="A1587" t="s">
        <v>1059</v>
      </c>
      <c r="B1587" t="s">
        <v>1060</v>
      </c>
      <c r="C1587" t="s">
        <v>11</v>
      </c>
      <c r="D1587" t="s">
        <v>598</v>
      </c>
      <c r="E1587" t="s">
        <v>599</v>
      </c>
      <c r="F1587" t="s">
        <v>34</v>
      </c>
      <c r="G1587" s="91">
        <v>1539.912</v>
      </c>
      <c r="H1587" s="91"/>
      <c r="I1587" s="91">
        <v>86.1099984934204</v>
      </c>
      <c r="J1587" s="91">
        <v>132601.82</v>
      </c>
    </row>
    <row r="1588" spans="1:10">
      <c r="A1588" t="s">
        <v>1059</v>
      </c>
      <c r="B1588" t="s">
        <v>1060</v>
      </c>
      <c r="C1588" t="s">
        <v>20</v>
      </c>
      <c r="D1588" t="s">
        <v>600</v>
      </c>
      <c r="E1588" t="s">
        <v>601</v>
      </c>
      <c r="F1588" t="s">
        <v>63</v>
      </c>
      <c r="G1588" s="91">
        <v>7699.559</v>
      </c>
      <c r="H1588" s="91"/>
      <c r="I1588" s="91">
        <v>0.0799993869778776</v>
      </c>
      <c r="J1588" s="91">
        <v>615.96</v>
      </c>
    </row>
    <row r="1589" spans="1:10">
      <c r="A1589" t="s">
        <v>1061</v>
      </c>
      <c r="B1589" t="s">
        <v>1062</v>
      </c>
      <c r="C1589" t="s">
        <v>11</v>
      </c>
      <c r="D1589" t="s">
        <v>24</v>
      </c>
      <c r="E1589" t="s">
        <v>604</v>
      </c>
      <c r="F1589" t="s">
        <v>34</v>
      </c>
      <c r="G1589" s="91">
        <v>14144.826</v>
      </c>
      <c r="H1589" s="91"/>
      <c r="I1589" s="91">
        <v>50</v>
      </c>
      <c r="J1589" s="91">
        <v>707241.3</v>
      </c>
    </row>
    <row r="1590" spans="1:10">
      <c r="A1590" t="s">
        <v>1061</v>
      </c>
      <c r="B1590" t="s">
        <v>1062</v>
      </c>
      <c r="C1590" t="s">
        <v>11</v>
      </c>
      <c r="D1590" t="s">
        <v>24</v>
      </c>
      <c r="E1590" t="s">
        <v>605</v>
      </c>
      <c r="F1590" t="s">
        <v>34</v>
      </c>
      <c r="G1590" s="91">
        <v>2889.788</v>
      </c>
      <c r="H1590" s="91"/>
      <c r="I1590" s="91">
        <v>80</v>
      </c>
      <c r="J1590" s="91">
        <v>231183.04</v>
      </c>
    </row>
    <row r="1591" spans="1:10">
      <c r="A1591" t="s">
        <v>1061</v>
      </c>
      <c r="B1591" t="s">
        <v>1062</v>
      </c>
      <c r="C1591" t="s">
        <v>11</v>
      </c>
      <c r="D1591" t="s">
        <v>24</v>
      </c>
      <c r="E1591" t="s">
        <v>606</v>
      </c>
      <c r="F1591" t="s">
        <v>34</v>
      </c>
      <c r="G1591" s="91">
        <v>14144.826</v>
      </c>
      <c r="H1591" s="91"/>
      <c r="I1591" s="91">
        <v>271.999999858606</v>
      </c>
      <c r="J1591" s="91">
        <v>3847392.67</v>
      </c>
    </row>
    <row r="1592" spans="1:10">
      <c r="A1592" t="s">
        <v>1061</v>
      </c>
      <c r="B1592" t="s">
        <v>1062</v>
      </c>
      <c r="C1592" t="s">
        <v>20</v>
      </c>
      <c r="D1592" t="s">
        <v>47</v>
      </c>
      <c r="E1592" t="s">
        <v>50</v>
      </c>
      <c r="F1592" t="s">
        <v>49</v>
      </c>
      <c r="G1592" s="91">
        <v>424.345</v>
      </c>
      <c r="H1592" s="91"/>
      <c r="I1592" s="91">
        <v>60</v>
      </c>
      <c r="J1592" s="91">
        <v>25460.7</v>
      </c>
    </row>
    <row r="1593" spans="1:10">
      <c r="A1593" t="s">
        <v>1061</v>
      </c>
      <c r="B1593" t="s">
        <v>1062</v>
      </c>
      <c r="C1593" t="s">
        <v>20</v>
      </c>
      <c r="D1593" t="s">
        <v>61</v>
      </c>
      <c r="E1593" t="s">
        <v>78</v>
      </c>
      <c r="F1593" t="s">
        <v>49</v>
      </c>
      <c r="G1593" s="91">
        <v>395.961</v>
      </c>
      <c r="H1593" s="91"/>
      <c r="I1593" s="91">
        <v>95.0000126275063</v>
      </c>
      <c r="J1593" s="91">
        <v>37616.3</v>
      </c>
    </row>
    <row r="1594" spans="1:10">
      <c r="A1594" t="s">
        <v>1061</v>
      </c>
      <c r="B1594" t="s">
        <v>1062</v>
      </c>
      <c r="C1594" t="s">
        <v>20</v>
      </c>
      <c r="D1594" t="s">
        <v>61</v>
      </c>
      <c r="E1594" t="s">
        <v>607</v>
      </c>
      <c r="F1594" t="s">
        <v>23</v>
      </c>
      <c r="G1594" s="91">
        <v>158.385</v>
      </c>
      <c r="H1594" s="91"/>
      <c r="I1594" s="91">
        <v>115.199987372542</v>
      </c>
      <c r="J1594" s="91">
        <v>18245.95</v>
      </c>
    </row>
    <row r="1595" spans="1:10">
      <c r="A1595" t="s">
        <v>1061</v>
      </c>
      <c r="B1595" t="s">
        <v>1062</v>
      </c>
      <c r="C1595" t="s">
        <v>20</v>
      </c>
      <c r="D1595" t="s">
        <v>84</v>
      </c>
      <c r="E1595" t="s">
        <v>86</v>
      </c>
      <c r="F1595" t="s">
        <v>49</v>
      </c>
      <c r="G1595" s="91">
        <v>282.897</v>
      </c>
      <c r="H1595" s="91"/>
      <c r="I1595" s="91">
        <v>60</v>
      </c>
      <c r="J1595" s="91">
        <v>16973.82</v>
      </c>
    </row>
    <row r="1596" spans="1:10">
      <c r="A1596" t="s">
        <v>1061</v>
      </c>
      <c r="B1596" t="s">
        <v>1062</v>
      </c>
      <c r="C1596" t="s">
        <v>20</v>
      </c>
      <c r="D1596" t="s">
        <v>84</v>
      </c>
      <c r="E1596" t="s">
        <v>88</v>
      </c>
      <c r="F1596" t="s">
        <v>49</v>
      </c>
      <c r="G1596" s="91">
        <v>565.793</v>
      </c>
      <c r="H1596" s="91"/>
      <c r="I1596" s="91">
        <v>60</v>
      </c>
      <c r="J1596" s="91">
        <v>33947.58</v>
      </c>
    </row>
    <row r="1597" spans="1:10">
      <c r="A1597" t="s">
        <v>1061</v>
      </c>
      <c r="B1597" t="s">
        <v>1062</v>
      </c>
      <c r="C1597" t="s">
        <v>20</v>
      </c>
      <c r="D1597" t="s">
        <v>84</v>
      </c>
      <c r="E1597" t="s">
        <v>89</v>
      </c>
      <c r="F1597" t="s">
        <v>49</v>
      </c>
      <c r="G1597" s="91">
        <v>565.793</v>
      </c>
      <c r="H1597" s="91"/>
      <c r="I1597" s="91">
        <v>60</v>
      </c>
      <c r="J1597" s="91">
        <v>33947.58</v>
      </c>
    </row>
    <row r="1598" spans="1:10">
      <c r="A1598" t="s">
        <v>1061</v>
      </c>
      <c r="B1598" t="s">
        <v>1062</v>
      </c>
      <c r="C1598" t="s">
        <v>20</v>
      </c>
      <c r="D1598" t="s">
        <v>84</v>
      </c>
      <c r="E1598" t="s">
        <v>608</v>
      </c>
      <c r="F1598" t="s">
        <v>100</v>
      </c>
      <c r="G1598" s="91">
        <v>19024.791</v>
      </c>
      <c r="H1598" s="91"/>
      <c r="I1598" s="91">
        <v>67.000000157689</v>
      </c>
      <c r="J1598" s="91">
        <v>1274661</v>
      </c>
    </row>
    <row r="1599" spans="1:10">
      <c r="A1599" t="s">
        <v>1061</v>
      </c>
      <c r="B1599" t="s">
        <v>1062</v>
      </c>
      <c r="C1599" t="s">
        <v>20</v>
      </c>
      <c r="D1599" t="s">
        <v>84</v>
      </c>
      <c r="E1599" t="s">
        <v>609</v>
      </c>
      <c r="F1599" t="s">
        <v>63</v>
      </c>
      <c r="G1599" s="91">
        <v>565.793</v>
      </c>
      <c r="H1599" s="91"/>
      <c r="I1599" s="91">
        <v>135.000008837154</v>
      </c>
      <c r="J1599" s="91">
        <v>76382.06</v>
      </c>
    </row>
    <row r="1600" spans="1:10">
      <c r="A1600" t="s">
        <v>1061</v>
      </c>
      <c r="B1600" t="s">
        <v>1062</v>
      </c>
      <c r="C1600" t="s">
        <v>20</v>
      </c>
      <c r="D1600" t="s">
        <v>84</v>
      </c>
      <c r="E1600" t="s">
        <v>610</v>
      </c>
      <c r="F1600" t="s">
        <v>611</v>
      </c>
      <c r="G1600" s="91">
        <v>1301.324</v>
      </c>
      <c r="H1600" s="91"/>
      <c r="I1600" s="91">
        <v>395</v>
      </c>
      <c r="J1600" s="91">
        <v>514022.98</v>
      </c>
    </row>
    <row r="1601" spans="1:10">
      <c r="A1601" t="s">
        <v>1061</v>
      </c>
      <c r="B1601" t="s">
        <v>1062</v>
      </c>
      <c r="C1601" t="s">
        <v>20</v>
      </c>
      <c r="D1601" t="s">
        <v>84</v>
      </c>
      <c r="E1601" t="s">
        <v>612</v>
      </c>
      <c r="F1601" t="s">
        <v>611</v>
      </c>
      <c r="G1601" s="91">
        <v>1018.427</v>
      </c>
      <c r="H1601" s="91"/>
      <c r="I1601" s="91">
        <v>295.000004909532</v>
      </c>
      <c r="J1601" s="91">
        <v>300435.97</v>
      </c>
    </row>
    <row r="1602" spans="1:10">
      <c r="A1602" t="s">
        <v>1061</v>
      </c>
      <c r="B1602" t="s">
        <v>1062</v>
      </c>
      <c r="C1602" t="s">
        <v>11</v>
      </c>
      <c r="D1602" t="s">
        <v>613</v>
      </c>
      <c r="E1602" t="s">
        <v>614</v>
      </c>
      <c r="F1602" t="s">
        <v>108</v>
      </c>
      <c r="G1602" s="91">
        <v>1471.062</v>
      </c>
      <c r="H1602" s="91"/>
      <c r="I1602" s="91">
        <v>40</v>
      </c>
      <c r="J1602" s="91">
        <v>58842.48</v>
      </c>
    </row>
    <row r="1603" spans="1:10">
      <c r="A1603" t="s">
        <v>1061</v>
      </c>
      <c r="B1603" t="s">
        <v>1062</v>
      </c>
      <c r="C1603" t="s">
        <v>11</v>
      </c>
      <c r="D1603" t="s">
        <v>613</v>
      </c>
      <c r="E1603" t="s">
        <v>615</v>
      </c>
      <c r="F1603" t="s">
        <v>108</v>
      </c>
      <c r="G1603" s="91">
        <v>1471.062</v>
      </c>
      <c r="H1603" s="91"/>
      <c r="I1603" s="91">
        <v>30</v>
      </c>
      <c r="J1603" s="91">
        <v>44131.86</v>
      </c>
    </row>
    <row r="1604" spans="1:10">
      <c r="A1604" t="s">
        <v>1063</v>
      </c>
      <c r="B1604" t="s">
        <v>1064</v>
      </c>
      <c r="C1604" t="s">
        <v>11</v>
      </c>
      <c r="D1604" t="s">
        <v>618</v>
      </c>
      <c r="E1604" t="s">
        <v>619</v>
      </c>
      <c r="F1604" t="s">
        <v>23</v>
      </c>
      <c r="G1604" s="91">
        <v>6.391</v>
      </c>
      <c r="H1604" s="91"/>
      <c r="I1604" s="91">
        <v>4750</v>
      </c>
      <c r="J1604" s="91">
        <v>30357.25</v>
      </c>
    </row>
    <row r="1605" spans="1:10">
      <c r="A1605" t="s">
        <v>1063</v>
      </c>
      <c r="B1605" t="s">
        <v>1064</v>
      </c>
      <c r="C1605" t="s">
        <v>11</v>
      </c>
      <c r="D1605" t="s">
        <v>618</v>
      </c>
      <c r="E1605" t="s">
        <v>620</v>
      </c>
      <c r="F1605" t="s">
        <v>23</v>
      </c>
      <c r="G1605" s="91">
        <v>0.913</v>
      </c>
      <c r="H1605" s="91"/>
      <c r="I1605" s="91">
        <v>2375.00547645126</v>
      </c>
      <c r="J1605" s="91">
        <v>2168.38</v>
      </c>
    </row>
    <row r="1606" spans="1:10">
      <c r="A1606" t="s">
        <v>1063</v>
      </c>
      <c r="B1606" t="s">
        <v>1064</v>
      </c>
      <c r="C1606" t="s">
        <v>11</v>
      </c>
      <c r="D1606" t="s">
        <v>618</v>
      </c>
      <c r="E1606" t="s">
        <v>621</v>
      </c>
      <c r="F1606" t="s">
        <v>23</v>
      </c>
      <c r="G1606" s="91">
        <v>0.152</v>
      </c>
      <c r="H1606" s="91"/>
      <c r="I1606" s="91">
        <v>3000</v>
      </c>
      <c r="J1606" s="91">
        <v>456</v>
      </c>
    </row>
    <row r="1607" spans="1:10">
      <c r="A1607" t="s">
        <v>1065</v>
      </c>
      <c r="B1607" t="s">
        <v>1066</v>
      </c>
      <c r="C1607" t="s">
        <v>20</v>
      </c>
      <c r="D1607" t="s">
        <v>47</v>
      </c>
      <c r="E1607" t="s">
        <v>48</v>
      </c>
      <c r="F1607" t="s">
        <v>49</v>
      </c>
      <c r="G1607" s="91">
        <v>2480.964</v>
      </c>
      <c r="H1607" s="91"/>
      <c r="I1607" s="91">
        <v>0</v>
      </c>
      <c r="J1607" s="91">
        <v>0</v>
      </c>
    </row>
    <row r="1608" spans="1:10">
      <c r="A1608" t="s">
        <v>1065</v>
      </c>
      <c r="B1608" t="s">
        <v>1066</v>
      </c>
      <c r="C1608" t="s">
        <v>20</v>
      </c>
      <c r="D1608" t="s">
        <v>624</v>
      </c>
      <c r="E1608" t="s">
        <v>625</v>
      </c>
      <c r="F1608" t="s">
        <v>23</v>
      </c>
      <c r="G1608" s="91">
        <v>6202.41</v>
      </c>
      <c r="H1608" s="91"/>
      <c r="I1608" s="91">
        <v>0</v>
      </c>
      <c r="J1608" s="91">
        <v>0</v>
      </c>
    </row>
    <row r="1609" spans="1:10">
      <c r="A1609" t="s">
        <v>1065</v>
      </c>
      <c r="B1609" t="s">
        <v>1066</v>
      </c>
      <c r="C1609" t="s">
        <v>20</v>
      </c>
      <c r="D1609" t="s">
        <v>624</v>
      </c>
      <c r="E1609" t="s">
        <v>626</v>
      </c>
      <c r="F1609" t="s">
        <v>23</v>
      </c>
      <c r="G1609" s="91">
        <v>6202.41</v>
      </c>
      <c r="H1609" s="91"/>
      <c r="I1609" s="91">
        <v>0</v>
      </c>
      <c r="J1609" s="91">
        <v>0</v>
      </c>
    </row>
    <row r="1610" spans="1:10">
      <c r="A1610" t="s">
        <v>1065</v>
      </c>
      <c r="B1610" t="s">
        <v>1066</v>
      </c>
      <c r="C1610" t="s">
        <v>20</v>
      </c>
      <c r="D1610" t="s">
        <v>624</v>
      </c>
      <c r="E1610" t="s">
        <v>627</v>
      </c>
      <c r="F1610" t="s">
        <v>23</v>
      </c>
      <c r="G1610" s="91">
        <v>6202.41</v>
      </c>
      <c r="H1610" s="91"/>
      <c r="I1610" s="91">
        <v>3.09999983877235</v>
      </c>
      <c r="J1610" s="91">
        <v>19227.47</v>
      </c>
    </row>
    <row r="1611" spans="1:10">
      <c r="A1611" t="s">
        <v>1065</v>
      </c>
      <c r="B1611" t="s">
        <v>1066</v>
      </c>
      <c r="C1611" t="s">
        <v>20</v>
      </c>
      <c r="D1611" t="s">
        <v>624</v>
      </c>
      <c r="E1611" t="s">
        <v>628</v>
      </c>
      <c r="F1611" t="s">
        <v>23</v>
      </c>
      <c r="G1611" s="91">
        <v>7753.013</v>
      </c>
      <c r="H1611" s="91"/>
      <c r="I1611" s="91">
        <v>0</v>
      </c>
      <c r="J1611" s="91">
        <v>0</v>
      </c>
    </row>
    <row r="1612" spans="1:10">
      <c r="A1612" t="s">
        <v>1065</v>
      </c>
      <c r="B1612" t="s">
        <v>1066</v>
      </c>
      <c r="C1612" t="s">
        <v>20</v>
      </c>
      <c r="D1612" t="s">
        <v>624</v>
      </c>
      <c r="E1612" t="s">
        <v>629</v>
      </c>
      <c r="F1612" t="s">
        <v>23</v>
      </c>
      <c r="G1612" s="91">
        <v>3101.205</v>
      </c>
      <c r="H1612" s="91"/>
      <c r="I1612" s="91">
        <v>6.49999919386174</v>
      </c>
      <c r="J1612" s="91">
        <v>20157.83</v>
      </c>
    </row>
    <row r="1613" spans="1:10">
      <c r="A1613" t="s">
        <v>1065</v>
      </c>
      <c r="B1613" t="s">
        <v>1066</v>
      </c>
      <c r="C1613" t="s">
        <v>11</v>
      </c>
      <c r="D1613" t="s">
        <v>630</v>
      </c>
      <c r="E1613" t="s">
        <v>631</v>
      </c>
      <c r="F1613" t="s">
        <v>17</v>
      </c>
      <c r="G1613" s="91">
        <v>206.747</v>
      </c>
      <c r="H1613" s="91"/>
      <c r="I1613" s="91">
        <v>0</v>
      </c>
      <c r="J1613" s="91">
        <v>0</v>
      </c>
    </row>
    <row r="1614" spans="1:10">
      <c r="A1614" t="s">
        <v>1067</v>
      </c>
      <c r="B1614" t="s">
        <v>1068</v>
      </c>
      <c r="C1614" t="s">
        <v>11</v>
      </c>
      <c r="D1614" t="s">
        <v>634</v>
      </c>
      <c r="E1614" t="s">
        <v>635</v>
      </c>
      <c r="F1614" t="s">
        <v>23</v>
      </c>
      <c r="G1614" s="91">
        <v>3403.266</v>
      </c>
      <c r="H1614" s="91"/>
      <c r="I1614" s="91">
        <v>16.0000011753416</v>
      </c>
      <c r="J1614" s="91">
        <v>54452.26</v>
      </c>
    </row>
    <row r="1615" spans="1:10">
      <c r="A1615" t="s">
        <v>1067</v>
      </c>
      <c r="B1615" t="s">
        <v>1068</v>
      </c>
      <c r="C1615" t="s">
        <v>20</v>
      </c>
      <c r="D1615" t="s">
        <v>636</v>
      </c>
      <c r="E1615" t="s">
        <v>637</v>
      </c>
      <c r="F1615" t="s">
        <v>23</v>
      </c>
      <c r="G1615" s="91">
        <v>1701.633</v>
      </c>
      <c r="H1615" s="91"/>
      <c r="I1615" s="91">
        <v>40</v>
      </c>
      <c r="J1615" s="91">
        <v>68065.32</v>
      </c>
    </row>
    <row r="1616" spans="1:10">
      <c r="A1616" t="s">
        <v>1069</v>
      </c>
      <c r="B1616" t="s">
        <v>1070</v>
      </c>
      <c r="C1616" t="s">
        <v>11</v>
      </c>
      <c r="D1616" t="s">
        <v>634</v>
      </c>
      <c r="E1616" t="s">
        <v>640</v>
      </c>
      <c r="F1616" t="s">
        <v>23</v>
      </c>
      <c r="G1616" s="91">
        <v>1701.632</v>
      </c>
      <c r="H1616" s="91"/>
      <c r="I1616" s="91">
        <v>16.9999976493155</v>
      </c>
      <c r="J1616" s="91">
        <v>28927.74</v>
      </c>
    </row>
    <row r="1617" spans="1:10">
      <c r="A1617" t="s">
        <v>1069</v>
      </c>
      <c r="B1617" t="s">
        <v>1070</v>
      </c>
      <c r="C1617" t="s">
        <v>20</v>
      </c>
      <c r="D1617" t="s">
        <v>636</v>
      </c>
      <c r="E1617" t="s">
        <v>641</v>
      </c>
      <c r="F1617" t="s">
        <v>23</v>
      </c>
      <c r="G1617" s="91">
        <v>850.816</v>
      </c>
      <c r="H1617" s="91"/>
      <c r="I1617" s="91">
        <v>58.999995298631</v>
      </c>
      <c r="J1617" s="91">
        <v>50198.14</v>
      </c>
    </row>
    <row r="1618" spans="1:10">
      <c r="A1618" t="s">
        <v>1071</v>
      </c>
      <c r="B1618" t="s">
        <v>1072</v>
      </c>
      <c r="C1618" t="s">
        <v>11</v>
      </c>
      <c r="D1618" t="s">
        <v>634</v>
      </c>
      <c r="E1618" t="s">
        <v>650</v>
      </c>
      <c r="F1618" t="s">
        <v>23</v>
      </c>
      <c r="G1618" s="91">
        <v>680.698</v>
      </c>
      <c r="H1618" s="91"/>
      <c r="I1618" s="91">
        <v>17.9999941236789</v>
      </c>
      <c r="J1618" s="91">
        <v>12252.56</v>
      </c>
    </row>
    <row r="1619" spans="1:10">
      <c r="A1619" t="s">
        <v>1071</v>
      </c>
      <c r="B1619" t="s">
        <v>1072</v>
      </c>
      <c r="C1619" t="s">
        <v>20</v>
      </c>
      <c r="D1619" t="s">
        <v>636</v>
      </c>
      <c r="E1619" t="s">
        <v>644</v>
      </c>
      <c r="F1619" t="s">
        <v>23</v>
      </c>
      <c r="G1619" s="91">
        <v>340.349</v>
      </c>
      <c r="H1619" s="91"/>
      <c r="I1619" s="91">
        <v>103.000008814482</v>
      </c>
      <c r="J1619" s="91">
        <v>35055.95</v>
      </c>
    </row>
    <row r="1620" spans="1:10">
      <c r="A1620" t="s">
        <v>1073</v>
      </c>
      <c r="B1620" t="s">
        <v>1074</v>
      </c>
      <c r="C1620" t="s">
        <v>11</v>
      </c>
      <c r="D1620" t="s">
        <v>634</v>
      </c>
      <c r="E1620" t="s">
        <v>635</v>
      </c>
      <c r="F1620" t="s">
        <v>23</v>
      </c>
      <c r="G1620" s="91">
        <v>340.462</v>
      </c>
      <c r="H1620" s="91"/>
      <c r="I1620" s="91">
        <v>15.9999941256293</v>
      </c>
      <c r="J1620" s="91">
        <v>5447.39</v>
      </c>
    </row>
    <row r="1621" spans="1:10">
      <c r="A1621" t="s">
        <v>1073</v>
      </c>
      <c r="B1621" t="s">
        <v>1074</v>
      </c>
      <c r="C1621" t="s">
        <v>11</v>
      </c>
      <c r="D1621" t="s">
        <v>634</v>
      </c>
      <c r="E1621" t="s">
        <v>640</v>
      </c>
      <c r="F1621" t="s">
        <v>23</v>
      </c>
      <c r="G1621" s="91">
        <v>340.462</v>
      </c>
      <c r="H1621" s="91"/>
      <c r="I1621" s="91">
        <v>16.9999882512586</v>
      </c>
      <c r="J1621" s="91">
        <v>5787.85</v>
      </c>
    </row>
    <row r="1622" spans="1:10">
      <c r="A1622" t="s">
        <v>1073</v>
      </c>
      <c r="B1622" t="s">
        <v>1074</v>
      </c>
      <c r="C1622" t="s">
        <v>20</v>
      </c>
      <c r="D1622" t="s">
        <v>636</v>
      </c>
      <c r="E1622" t="s">
        <v>647</v>
      </c>
      <c r="F1622" t="s">
        <v>23</v>
      </c>
      <c r="G1622" s="91">
        <v>170.231</v>
      </c>
      <c r="H1622" s="91"/>
      <c r="I1622" s="91">
        <v>62.9999823768879</v>
      </c>
      <c r="J1622" s="91">
        <v>10724.55</v>
      </c>
    </row>
    <row r="1623" spans="1:10">
      <c r="A1623" t="s">
        <v>1075</v>
      </c>
      <c r="B1623" t="s">
        <v>1076</v>
      </c>
      <c r="C1623" t="s">
        <v>11</v>
      </c>
      <c r="D1623" t="s">
        <v>634</v>
      </c>
      <c r="E1623" t="s">
        <v>640</v>
      </c>
      <c r="F1623" t="s">
        <v>23</v>
      </c>
      <c r="G1623" s="91">
        <v>340.462</v>
      </c>
      <c r="H1623" s="91"/>
      <c r="I1623" s="91">
        <v>16.9999882512586</v>
      </c>
      <c r="J1623" s="91">
        <v>5787.85</v>
      </c>
    </row>
    <row r="1624" spans="1:10">
      <c r="A1624" t="s">
        <v>1075</v>
      </c>
      <c r="B1624" t="s">
        <v>1076</v>
      </c>
      <c r="C1624" t="s">
        <v>11</v>
      </c>
      <c r="D1624" t="s">
        <v>634</v>
      </c>
      <c r="E1624" t="s">
        <v>650</v>
      </c>
      <c r="F1624" t="s">
        <v>23</v>
      </c>
      <c r="G1624" s="91">
        <v>340.462</v>
      </c>
      <c r="H1624" s="91"/>
      <c r="I1624" s="91">
        <v>18.0000117487414</v>
      </c>
      <c r="J1624" s="91">
        <v>6128.32</v>
      </c>
    </row>
    <row r="1625" spans="1:10">
      <c r="A1625" t="s">
        <v>1075</v>
      </c>
      <c r="B1625" t="s">
        <v>1076</v>
      </c>
      <c r="C1625" t="s">
        <v>20</v>
      </c>
      <c r="D1625" t="s">
        <v>636</v>
      </c>
      <c r="E1625" t="s">
        <v>651</v>
      </c>
      <c r="F1625" t="s">
        <v>23</v>
      </c>
      <c r="G1625" s="91">
        <v>170.231</v>
      </c>
      <c r="H1625" s="91"/>
      <c r="I1625" s="91">
        <v>108.000011748741</v>
      </c>
      <c r="J1625" s="91">
        <v>18384.95</v>
      </c>
    </row>
    <row r="1626" spans="1:10">
      <c r="A1626" t="s">
        <v>1077</v>
      </c>
      <c r="B1626" t="s">
        <v>1078</v>
      </c>
      <c r="C1626" t="s">
        <v>11</v>
      </c>
      <c r="D1626" t="s">
        <v>634</v>
      </c>
      <c r="E1626" t="s">
        <v>635</v>
      </c>
      <c r="F1626" t="s">
        <v>23</v>
      </c>
      <c r="G1626" s="91">
        <v>170.231</v>
      </c>
      <c r="H1626" s="91"/>
      <c r="I1626" s="91">
        <v>16.0000234974828</v>
      </c>
      <c r="J1626" s="91">
        <v>2723.7</v>
      </c>
    </row>
    <row r="1627" spans="1:10">
      <c r="A1627" t="s">
        <v>1077</v>
      </c>
      <c r="B1627" t="s">
        <v>1078</v>
      </c>
      <c r="C1627" t="s">
        <v>11</v>
      </c>
      <c r="D1627" t="s">
        <v>634</v>
      </c>
      <c r="E1627" t="s">
        <v>650</v>
      </c>
      <c r="F1627" t="s">
        <v>23</v>
      </c>
      <c r="G1627" s="91">
        <v>170.231</v>
      </c>
      <c r="H1627" s="91"/>
      <c r="I1627" s="91">
        <v>18.0000117487414</v>
      </c>
      <c r="J1627" s="91">
        <v>3064.16</v>
      </c>
    </row>
    <row r="1628" spans="1:10">
      <c r="A1628" t="s">
        <v>1077</v>
      </c>
      <c r="B1628" t="s">
        <v>1078</v>
      </c>
      <c r="C1628" t="s">
        <v>20</v>
      </c>
      <c r="D1628" t="s">
        <v>636</v>
      </c>
      <c r="E1628" t="s">
        <v>654</v>
      </c>
      <c r="F1628" t="s">
        <v>23</v>
      </c>
      <c r="G1628" s="91">
        <v>170.231</v>
      </c>
      <c r="H1628" s="91"/>
      <c r="I1628" s="91">
        <v>109.000005874371</v>
      </c>
      <c r="J1628" s="91">
        <v>18555.18</v>
      </c>
    </row>
    <row r="1629" spans="1:10">
      <c r="A1629" t="s">
        <v>1079</v>
      </c>
      <c r="B1629" t="s">
        <v>1080</v>
      </c>
      <c r="C1629" t="s">
        <v>11</v>
      </c>
      <c r="D1629" t="s">
        <v>657</v>
      </c>
      <c r="E1629" t="s">
        <v>658</v>
      </c>
      <c r="F1629" t="s">
        <v>34</v>
      </c>
      <c r="G1629" s="91">
        <v>1771.239</v>
      </c>
      <c r="H1629" s="91"/>
      <c r="I1629" s="91">
        <v>45.0000028228827</v>
      </c>
      <c r="J1629" s="91">
        <v>79705.76</v>
      </c>
    </row>
    <row r="1630" spans="1:10">
      <c r="A1630" t="s">
        <v>1081</v>
      </c>
      <c r="B1630" t="s">
        <v>1082</v>
      </c>
      <c r="C1630" t="s">
        <v>11</v>
      </c>
      <c r="D1630" t="s">
        <v>12</v>
      </c>
      <c r="E1630" t="s">
        <v>13</v>
      </c>
      <c r="F1630" t="s">
        <v>14</v>
      </c>
      <c r="G1630" s="91">
        <v>0.666</v>
      </c>
      <c r="H1630" s="91"/>
      <c r="I1630" s="91">
        <v>450</v>
      </c>
      <c r="J1630" s="91">
        <v>299.7</v>
      </c>
    </row>
    <row r="1631" spans="1:10">
      <c r="A1631" t="s">
        <v>1081</v>
      </c>
      <c r="B1631" t="s">
        <v>1082</v>
      </c>
      <c r="C1631" t="s">
        <v>11</v>
      </c>
      <c r="D1631" t="s">
        <v>12</v>
      </c>
      <c r="E1631" t="s">
        <v>15</v>
      </c>
      <c r="F1631" t="s">
        <v>14</v>
      </c>
      <c r="G1631" s="91">
        <v>0.104</v>
      </c>
      <c r="H1631" s="91"/>
      <c r="I1631" s="91">
        <v>600</v>
      </c>
      <c r="J1631" s="91">
        <v>62.4</v>
      </c>
    </row>
    <row r="1632" spans="1:10">
      <c r="A1632" t="s">
        <v>1081</v>
      </c>
      <c r="B1632" t="s">
        <v>1082</v>
      </c>
      <c r="C1632" t="s">
        <v>11</v>
      </c>
      <c r="D1632" t="s">
        <v>12</v>
      </c>
      <c r="E1632" t="s">
        <v>28</v>
      </c>
      <c r="F1632" t="s">
        <v>14</v>
      </c>
      <c r="G1632" s="91">
        <v>0.031</v>
      </c>
      <c r="H1632" s="91"/>
      <c r="I1632" s="91">
        <v>600</v>
      </c>
      <c r="J1632" s="91">
        <v>18.6</v>
      </c>
    </row>
    <row r="1633" spans="1:10">
      <c r="A1633" t="s">
        <v>1081</v>
      </c>
      <c r="B1633" t="s">
        <v>1082</v>
      </c>
      <c r="C1633" t="s">
        <v>20</v>
      </c>
      <c r="D1633" t="s">
        <v>106</v>
      </c>
      <c r="E1633" t="s">
        <v>107</v>
      </c>
      <c r="F1633" t="s">
        <v>108</v>
      </c>
      <c r="G1633" s="91">
        <v>1.274</v>
      </c>
      <c r="H1633" s="91"/>
      <c r="I1633" s="91">
        <v>3362.00156985871</v>
      </c>
      <c r="J1633" s="91">
        <v>4283.19</v>
      </c>
    </row>
    <row r="1634" spans="1:10">
      <c r="A1634" t="s">
        <v>1081</v>
      </c>
      <c r="B1634" t="s">
        <v>1082</v>
      </c>
      <c r="C1634" t="s">
        <v>20</v>
      </c>
      <c r="D1634" t="s">
        <v>596</v>
      </c>
      <c r="E1634" t="s">
        <v>597</v>
      </c>
      <c r="F1634" t="s">
        <v>46</v>
      </c>
      <c r="G1634" s="91">
        <v>0.293</v>
      </c>
      <c r="H1634" s="91"/>
      <c r="I1634" s="91">
        <v>2200</v>
      </c>
      <c r="J1634" s="91">
        <v>644.6</v>
      </c>
    </row>
    <row r="1635" spans="1:10">
      <c r="A1635" t="s">
        <v>1083</v>
      </c>
      <c r="B1635" t="s">
        <v>1084</v>
      </c>
      <c r="C1635" t="s">
        <v>11</v>
      </c>
      <c r="D1635" t="s">
        <v>12</v>
      </c>
      <c r="E1635" t="s">
        <v>13</v>
      </c>
      <c r="F1635" t="s">
        <v>14</v>
      </c>
      <c r="G1635" s="91">
        <v>0.666</v>
      </c>
      <c r="H1635" s="91"/>
      <c r="I1635" s="91">
        <v>450</v>
      </c>
      <c r="J1635" s="91">
        <v>299.7</v>
      </c>
    </row>
    <row r="1636" spans="1:10">
      <c r="A1636" t="s">
        <v>1083</v>
      </c>
      <c r="B1636" t="s">
        <v>1084</v>
      </c>
      <c r="C1636" t="s">
        <v>11</v>
      </c>
      <c r="D1636" t="s">
        <v>12</v>
      </c>
      <c r="E1636" t="s">
        <v>15</v>
      </c>
      <c r="F1636" t="s">
        <v>14</v>
      </c>
      <c r="G1636" s="91">
        <v>0.104</v>
      </c>
      <c r="H1636" s="91"/>
      <c r="I1636" s="91">
        <v>600</v>
      </c>
      <c r="J1636" s="91">
        <v>62.4</v>
      </c>
    </row>
    <row r="1637" spans="1:10">
      <c r="A1637" t="s">
        <v>1083</v>
      </c>
      <c r="B1637" t="s">
        <v>1084</v>
      </c>
      <c r="C1637" t="s">
        <v>11</v>
      </c>
      <c r="D1637" t="s">
        <v>12</v>
      </c>
      <c r="E1637" t="s">
        <v>28</v>
      </c>
      <c r="F1637" t="s">
        <v>14</v>
      </c>
      <c r="G1637" s="91">
        <v>0.031</v>
      </c>
      <c r="H1637" s="91"/>
      <c r="I1637" s="91">
        <v>600</v>
      </c>
      <c r="J1637" s="91">
        <v>18.6</v>
      </c>
    </row>
    <row r="1638" spans="1:10">
      <c r="A1638" t="s">
        <v>1083</v>
      </c>
      <c r="B1638" t="s">
        <v>1084</v>
      </c>
      <c r="C1638" t="s">
        <v>20</v>
      </c>
      <c r="D1638" t="s">
        <v>106</v>
      </c>
      <c r="E1638" t="s">
        <v>107</v>
      </c>
      <c r="F1638" t="s">
        <v>108</v>
      </c>
      <c r="G1638" s="91">
        <v>2.123</v>
      </c>
      <c r="H1638" s="91"/>
      <c r="I1638" s="91">
        <v>3362.00188412624</v>
      </c>
      <c r="J1638" s="91">
        <v>7137.53</v>
      </c>
    </row>
    <row r="1639" spans="1:10">
      <c r="A1639" t="s">
        <v>1085</v>
      </c>
      <c r="B1639" t="s">
        <v>1086</v>
      </c>
      <c r="C1639" t="s">
        <v>11</v>
      </c>
      <c r="D1639" t="s">
        <v>665</v>
      </c>
      <c r="E1639" t="s">
        <v>666</v>
      </c>
      <c r="F1639" t="s">
        <v>34</v>
      </c>
      <c r="G1639" s="91">
        <v>851.521</v>
      </c>
      <c r="H1639" s="91"/>
      <c r="I1639" s="91">
        <v>33.3099947035951</v>
      </c>
      <c r="J1639" s="91">
        <v>28364.16</v>
      </c>
    </row>
    <row r="1640" spans="1:10">
      <c r="A1640" t="s">
        <v>1085</v>
      </c>
      <c r="B1640" t="s">
        <v>1086</v>
      </c>
      <c r="C1640" t="s">
        <v>11</v>
      </c>
      <c r="D1640" t="s">
        <v>12</v>
      </c>
      <c r="E1640" t="s">
        <v>13</v>
      </c>
      <c r="F1640" t="s">
        <v>14</v>
      </c>
      <c r="G1640" s="91">
        <v>43.252</v>
      </c>
      <c r="H1640" s="91"/>
      <c r="I1640" s="91">
        <v>450</v>
      </c>
      <c r="J1640" s="91">
        <v>19463.4</v>
      </c>
    </row>
    <row r="1641" spans="1:10">
      <c r="A1641" t="s">
        <v>1085</v>
      </c>
      <c r="B1641" t="s">
        <v>1086</v>
      </c>
      <c r="C1641" t="s">
        <v>11</v>
      </c>
      <c r="D1641" t="s">
        <v>12</v>
      </c>
      <c r="E1641" t="s">
        <v>15</v>
      </c>
      <c r="F1641" t="s">
        <v>14</v>
      </c>
      <c r="G1641" s="91">
        <v>6.758</v>
      </c>
      <c r="H1641" s="91"/>
      <c r="I1641" s="91">
        <v>600</v>
      </c>
      <c r="J1641" s="91">
        <v>4054.8</v>
      </c>
    </row>
    <row r="1642" spans="1:10">
      <c r="A1642" t="s">
        <v>1085</v>
      </c>
      <c r="B1642" t="s">
        <v>1086</v>
      </c>
      <c r="C1642" t="s">
        <v>11</v>
      </c>
      <c r="D1642" t="s">
        <v>12</v>
      </c>
      <c r="E1642" t="s">
        <v>28</v>
      </c>
      <c r="F1642" t="s">
        <v>14</v>
      </c>
      <c r="G1642" s="91">
        <v>2.027</v>
      </c>
      <c r="H1642" s="91"/>
      <c r="I1642" s="91">
        <v>600</v>
      </c>
      <c r="J1642" s="91">
        <v>1216.2</v>
      </c>
    </row>
    <row r="1643" spans="1:10">
      <c r="A1643" t="s">
        <v>1085</v>
      </c>
      <c r="B1643" t="s">
        <v>1086</v>
      </c>
      <c r="C1643" t="s">
        <v>20</v>
      </c>
      <c r="D1643" t="s">
        <v>59</v>
      </c>
      <c r="E1643" t="s">
        <v>667</v>
      </c>
      <c r="F1643" t="s">
        <v>49</v>
      </c>
      <c r="G1643" s="91">
        <v>128.404</v>
      </c>
      <c r="H1643" s="91"/>
      <c r="I1643" s="91">
        <v>42.0000155758388</v>
      </c>
      <c r="J1643" s="91">
        <v>5392.97</v>
      </c>
    </row>
    <row r="1644" spans="1:10">
      <c r="A1644" t="s">
        <v>1085</v>
      </c>
      <c r="B1644" t="s">
        <v>1086</v>
      </c>
      <c r="C1644" t="s">
        <v>20</v>
      </c>
      <c r="D1644" t="s">
        <v>59</v>
      </c>
      <c r="E1644" t="s">
        <v>668</v>
      </c>
      <c r="F1644" t="s">
        <v>49</v>
      </c>
      <c r="G1644" s="91">
        <v>173.007</v>
      </c>
      <c r="H1644" s="91"/>
      <c r="I1644" s="91">
        <v>15.0000289005647</v>
      </c>
      <c r="J1644" s="91">
        <v>2595.11</v>
      </c>
    </row>
    <row r="1645" spans="1:10">
      <c r="A1645" t="s">
        <v>1085</v>
      </c>
      <c r="B1645" t="s">
        <v>1086</v>
      </c>
      <c r="C1645" t="s">
        <v>20</v>
      </c>
      <c r="D1645" t="s">
        <v>59</v>
      </c>
      <c r="E1645" t="s">
        <v>60</v>
      </c>
      <c r="F1645" t="s">
        <v>49</v>
      </c>
      <c r="G1645" s="91">
        <v>75.961</v>
      </c>
      <c r="H1645" s="91"/>
      <c r="I1645" s="91">
        <v>17.0000394939508</v>
      </c>
      <c r="J1645" s="91">
        <v>1291.34</v>
      </c>
    </row>
    <row r="1646" spans="1:10">
      <c r="A1646" t="s">
        <v>1085</v>
      </c>
      <c r="B1646" t="s">
        <v>1086</v>
      </c>
      <c r="C1646" t="s">
        <v>20</v>
      </c>
      <c r="D1646" t="s">
        <v>106</v>
      </c>
      <c r="E1646" t="s">
        <v>669</v>
      </c>
      <c r="F1646" t="s">
        <v>108</v>
      </c>
      <c r="G1646" s="91">
        <v>137.865</v>
      </c>
      <c r="H1646" s="91"/>
      <c r="I1646" s="91">
        <v>4522</v>
      </c>
      <c r="J1646" s="91">
        <v>623425.53</v>
      </c>
    </row>
    <row r="1647" spans="1:10">
      <c r="A1647" t="s">
        <v>1087</v>
      </c>
      <c r="B1647" t="s">
        <v>1088</v>
      </c>
      <c r="C1647" t="s">
        <v>11</v>
      </c>
      <c r="D1647" t="s">
        <v>665</v>
      </c>
      <c r="E1647" t="s">
        <v>666</v>
      </c>
      <c r="F1647" t="s">
        <v>34</v>
      </c>
      <c r="G1647" s="91">
        <v>579.902</v>
      </c>
      <c r="H1647" s="91"/>
      <c r="I1647" s="91">
        <v>33.3100075530003</v>
      </c>
      <c r="J1647" s="91">
        <v>19316.54</v>
      </c>
    </row>
    <row r="1648" spans="1:10">
      <c r="A1648" t="s">
        <v>1087</v>
      </c>
      <c r="B1648" t="s">
        <v>1088</v>
      </c>
      <c r="C1648" t="s">
        <v>11</v>
      </c>
      <c r="D1648" t="s">
        <v>12</v>
      </c>
      <c r="E1648" t="s">
        <v>13</v>
      </c>
      <c r="F1648" t="s">
        <v>14</v>
      </c>
      <c r="G1648" s="91">
        <v>29.455</v>
      </c>
      <c r="H1648" s="91"/>
      <c r="I1648" s="91">
        <v>450</v>
      </c>
      <c r="J1648" s="91">
        <v>13254.75</v>
      </c>
    </row>
    <row r="1649" spans="1:10">
      <c r="A1649" t="s">
        <v>1087</v>
      </c>
      <c r="B1649" t="s">
        <v>1088</v>
      </c>
      <c r="C1649" t="s">
        <v>11</v>
      </c>
      <c r="D1649" t="s">
        <v>12</v>
      </c>
      <c r="E1649" t="s">
        <v>15</v>
      </c>
      <c r="F1649" t="s">
        <v>14</v>
      </c>
      <c r="G1649" s="91">
        <v>4.602</v>
      </c>
      <c r="H1649" s="91"/>
      <c r="I1649" s="91">
        <v>600</v>
      </c>
      <c r="J1649" s="91">
        <v>2761.2</v>
      </c>
    </row>
    <row r="1650" spans="1:10">
      <c r="A1650" t="s">
        <v>1087</v>
      </c>
      <c r="B1650" t="s">
        <v>1088</v>
      </c>
      <c r="C1650" t="s">
        <v>11</v>
      </c>
      <c r="D1650" t="s">
        <v>12</v>
      </c>
      <c r="E1650" t="s">
        <v>28</v>
      </c>
      <c r="F1650" t="s">
        <v>14</v>
      </c>
      <c r="G1650" s="91">
        <v>1.381</v>
      </c>
      <c r="H1650" s="91"/>
      <c r="I1650" s="91">
        <v>600</v>
      </c>
      <c r="J1650" s="91">
        <v>828.6</v>
      </c>
    </row>
    <row r="1651" spans="1:10">
      <c r="A1651" t="s">
        <v>1087</v>
      </c>
      <c r="B1651" t="s">
        <v>1088</v>
      </c>
      <c r="C1651" t="s">
        <v>20</v>
      </c>
      <c r="D1651" t="s">
        <v>59</v>
      </c>
      <c r="E1651" t="s">
        <v>667</v>
      </c>
      <c r="F1651" t="s">
        <v>49</v>
      </c>
      <c r="G1651" s="91">
        <v>87.446</v>
      </c>
      <c r="H1651" s="91"/>
      <c r="I1651" s="91">
        <v>41.9999771287423</v>
      </c>
      <c r="J1651" s="91">
        <v>3672.73</v>
      </c>
    </row>
    <row r="1652" spans="1:10">
      <c r="A1652" t="s">
        <v>1087</v>
      </c>
      <c r="B1652" t="s">
        <v>1088</v>
      </c>
      <c r="C1652" t="s">
        <v>20</v>
      </c>
      <c r="D1652" t="s">
        <v>59</v>
      </c>
      <c r="E1652" t="s">
        <v>668</v>
      </c>
      <c r="F1652" t="s">
        <v>49</v>
      </c>
      <c r="G1652" s="91">
        <v>117.821</v>
      </c>
      <c r="H1652" s="91"/>
      <c r="I1652" s="91">
        <v>15.0000424372565</v>
      </c>
      <c r="J1652" s="91">
        <v>1767.32</v>
      </c>
    </row>
    <row r="1653" spans="1:10">
      <c r="A1653" t="s">
        <v>1087</v>
      </c>
      <c r="B1653" t="s">
        <v>1088</v>
      </c>
      <c r="C1653" t="s">
        <v>20</v>
      </c>
      <c r="D1653" t="s">
        <v>59</v>
      </c>
      <c r="E1653" t="s">
        <v>60</v>
      </c>
      <c r="F1653" t="s">
        <v>49</v>
      </c>
      <c r="G1653" s="91">
        <v>51.731</v>
      </c>
      <c r="H1653" s="91"/>
      <c r="I1653" s="91">
        <v>17.0000579923064</v>
      </c>
      <c r="J1653" s="91">
        <v>879.43</v>
      </c>
    </row>
    <row r="1654" spans="1:10">
      <c r="A1654" t="s">
        <v>1087</v>
      </c>
      <c r="B1654" t="s">
        <v>1088</v>
      </c>
      <c r="C1654" t="s">
        <v>20</v>
      </c>
      <c r="D1654" t="s">
        <v>106</v>
      </c>
      <c r="E1654" t="s">
        <v>672</v>
      </c>
      <c r="F1654" t="s">
        <v>108</v>
      </c>
      <c r="G1654" s="91">
        <v>93.889</v>
      </c>
      <c r="H1654" s="91"/>
      <c r="I1654" s="91">
        <v>5000</v>
      </c>
      <c r="J1654" s="91">
        <v>469445</v>
      </c>
    </row>
    <row r="1655" spans="1:10">
      <c r="A1655" t="s">
        <v>1089</v>
      </c>
      <c r="B1655" t="s">
        <v>1090</v>
      </c>
      <c r="C1655" t="s">
        <v>11</v>
      </c>
      <c r="D1655" t="s">
        <v>665</v>
      </c>
      <c r="E1655" t="s">
        <v>666</v>
      </c>
      <c r="F1655" t="s">
        <v>34</v>
      </c>
      <c r="G1655" s="91">
        <v>16061.359</v>
      </c>
      <c r="H1655" s="91"/>
      <c r="I1655" s="91">
        <v>33.3100001064667</v>
      </c>
      <c r="J1655" s="91">
        <v>535003.87</v>
      </c>
    </row>
    <row r="1656" spans="1:10">
      <c r="A1656" t="s">
        <v>1089</v>
      </c>
      <c r="B1656" t="s">
        <v>1090</v>
      </c>
      <c r="C1656" t="s">
        <v>11</v>
      </c>
      <c r="D1656" t="s">
        <v>12</v>
      </c>
      <c r="E1656" t="s">
        <v>13</v>
      </c>
      <c r="F1656" t="s">
        <v>14</v>
      </c>
      <c r="G1656" s="91">
        <v>815.815</v>
      </c>
      <c r="H1656" s="91"/>
      <c r="I1656" s="91">
        <v>450</v>
      </c>
      <c r="J1656" s="91">
        <v>367116.75</v>
      </c>
    </row>
    <row r="1657" spans="1:10">
      <c r="A1657" t="s">
        <v>1089</v>
      </c>
      <c r="B1657" t="s">
        <v>1090</v>
      </c>
      <c r="C1657" t="s">
        <v>11</v>
      </c>
      <c r="D1657" t="s">
        <v>12</v>
      </c>
      <c r="E1657" t="s">
        <v>15</v>
      </c>
      <c r="F1657" t="s">
        <v>14</v>
      </c>
      <c r="G1657" s="91">
        <v>127.471</v>
      </c>
      <c r="H1657" s="91"/>
      <c r="I1657" s="91">
        <v>600</v>
      </c>
      <c r="J1657" s="91">
        <v>76482.6</v>
      </c>
    </row>
    <row r="1658" spans="1:10">
      <c r="A1658" t="s">
        <v>1089</v>
      </c>
      <c r="B1658" t="s">
        <v>1090</v>
      </c>
      <c r="C1658" t="s">
        <v>11</v>
      </c>
      <c r="D1658" t="s">
        <v>12</v>
      </c>
      <c r="E1658" t="s">
        <v>28</v>
      </c>
      <c r="F1658" t="s">
        <v>14</v>
      </c>
      <c r="G1658" s="91">
        <v>38.241</v>
      </c>
      <c r="H1658" s="91"/>
      <c r="I1658" s="91">
        <v>600</v>
      </c>
      <c r="J1658" s="91">
        <v>22944.6</v>
      </c>
    </row>
    <row r="1659" spans="1:10">
      <c r="A1659" t="s">
        <v>1089</v>
      </c>
      <c r="B1659" t="s">
        <v>1090</v>
      </c>
      <c r="C1659" t="s">
        <v>20</v>
      </c>
      <c r="D1659" t="s">
        <v>59</v>
      </c>
      <c r="E1659" t="s">
        <v>667</v>
      </c>
      <c r="F1659" t="s">
        <v>49</v>
      </c>
      <c r="G1659" s="91">
        <v>2421.951</v>
      </c>
      <c r="H1659" s="91"/>
      <c r="I1659" s="91">
        <v>41.9999991742195</v>
      </c>
      <c r="J1659" s="91">
        <v>101721.94</v>
      </c>
    </row>
    <row r="1660" spans="1:10">
      <c r="A1660" t="s">
        <v>1089</v>
      </c>
      <c r="B1660" t="s">
        <v>1090</v>
      </c>
      <c r="C1660" t="s">
        <v>20</v>
      </c>
      <c r="D1660" t="s">
        <v>59</v>
      </c>
      <c r="E1660" t="s">
        <v>668</v>
      </c>
      <c r="F1660" t="s">
        <v>49</v>
      </c>
      <c r="G1660" s="91">
        <v>3263.26</v>
      </c>
      <c r="H1660" s="91"/>
      <c r="I1660" s="91">
        <v>15</v>
      </c>
      <c r="J1660" s="91">
        <v>48948.9</v>
      </c>
    </row>
    <row r="1661" spans="1:10">
      <c r="A1661" t="s">
        <v>1089</v>
      </c>
      <c r="B1661" t="s">
        <v>1090</v>
      </c>
      <c r="C1661" t="s">
        <v>20</v>
      </c>
      <c r="D1661" t="s">
        <v>59</v>
      </c>
      <c r="E1661" t="s">
        <v>60</v>
      </c>
      <c r="F1661" t="s">
        <v>49</v>
      </c>
      <c r="G1661" s="91">
        <v>1432.775</v>
      </c>
      <c r="H1661" s="91"/>
      <c r="I1661" s="91">
        <v>17.0000034897315</v>
      </c>
      <c r="J1661" s="91">
        <v>24357.18</v>
      </c>
    </row>
    <row r="1662" spans="1:10">
      <c r="A1662" t="s">
        <v>1089</v>
      </c>
      <c r="B1662" t="s">
        <v>1090</v>
      </c>
      <c r="C1662" t="s">
        <v>20</v>
      </c>
      <c r="D1662" t="s">
        <v>106</v>
      </c>
      <c r="E1662" t="s">
        <v>675</v>
      </c>
      <c r="F1662" t="s">
        <v>108</v>
      </c>
      <c r="G1662" s="91">
        <v>2600.41</v>
      </c>
      <c r="H1662" s="91"/>
      <c r="I1662" s="91">
        <v>5450</v>
      </c>
      <c r="J1662" s="91">
        <v>14172234.5</v>
      </c>
    </row>
    <row r="1663" spans="1:10">
      <c r="A1663" t="s">
        <v>1091</v>
      </c>
      <c r="B1663" t="s">
        <v>1092</v>
      </c>
      <c r="C1663" t="s">
        <v>11</v>
      </c>
      <c r="D1663" t="s">
        <v>12</v>
      </c>
      <c r="E1663" t="s">
        <v>13</v>
      </c>
      <c r="F1663" t="s">
        <v>14</v>
      </c>
      <c r="G1663" s="91">
        <v>10.813</v>
      </c>
      <c r="H1663" s="91"/>
      <c r="I1663" s="91">
        <v>450</v>
      </c>
      <c r="J1663" s="91">
        <v>4865.85</v>
      </c>
    </row>
    <row r="1664" spans="1:10">
      <c r="A1664" t="s">
        <v>1091</v>
      </c>
      <c r="B1664" t="s">
        <v>1092</v>
      </c>
      <c r="C1664" t="s">
        <v>11</v>
      </c>
      <c r="D1664" t="s">
        <v>12</v>
      </c>
      <c r="E1664" t="s">
        <v>15</v>
      </c>
      <c r="F1664" t="s">
        <v>14</v>
      </c>
      <c r="G1664" s="91">
        <v>1.69</v>
      </c>
      <c r="H1664" s="91"/>
      <c r="I1664" s="91">
        <v>600</v>
      </c>
      <c r="J1664" s="91">
        <v>1014</v>
      </c>
    </row>
    <row r="1665" spans="1:10">
      <c r="A1665" t="s">
        <v>1091</v>
      </c>
      <c r="B1665" t="s">
        <v>1092</v>
      </c>
      <c r="C1665" t="s">
        <v>11</v>
      </c>
      <c r="D1665" t="s">
        <v>12</v>
      </c>
      <c r="E1665" t="s">
        <v>28</v>
      </c>
      <c r="F1665" t="s">
        <v>14</v>
      </c>
      <c r="G1665" s="91">
        <v>0.507</v>
      </c>
      <c r="H1665" s="91"/>
      <c r="I1665" s="91">
        <v>600</v>
      </c>
      <c r="J1665" s="91">
        <v>304.2</v>
      </c>
    </row>
    <row r="1666" spans="1:10">
      <c r="A1666" t="s">
        <v>1091</v>
      </c>
      <c r="B1666" t="s">
        <v>1092</v>
      </c>
      <c r="C1666" t="s">
        <v>20</v>
      </c>
      <c r="D1666" t="s">
        <v>59</v>
      </c>
      <c r="E1666" t="s">
        <v>667</v>
      </c>
      <c r="F1666" t="s">
        <v>49</v>
      </c>
      <c r="G1666" s="91">
        <v>32.1</v>
      </c>
      <c r="H1666" s="91"/>
      <c r="I1666" s="91">
        <v>42</v>
      </c>
      <c r="J1666" s="91">
        <v>1348.2</v>
      </c>
    </row>
    <row r="1667" spans="1:10">
      <c r="A1667" t="s">
        <v>1091</v>
      </c>
      <c r="B1667" t="s">
        <v>1092</v>
      </c>
      <c r="C1667" t="s">
        <v>20</v>
      </c>
      <c r="D1667" t="s">
        <v>59</v>
      </c>
      <c r="E1667" t="s">
        <v>668</v>
      </c>
      <c r="F1667" t="s">
        <v>49</v>
      </c>
      <c r="G1667" s="91">
        <v>43.251</v>
      </c>
      <c r="H1667" s="91"/>
      <c r="I1667" s="91">
        <v>15.0001156042635</v>
      </c>
      <c r="J1667" s="91">
        <v>648.77</v>
      </c>
    </row>
    <row r="1668" spans="1:10">
      <c r="A1668" t="s">
        <v>1091</v>
      </c>
      <c r="B1668" t="s">
        <v>1092</v>
      </c>
      <c r="C1668" t="s">
        <v>20</v>
      </c>
      <c r="D1668" t="s">
        <v>59</v>
      </c>
      <c r="E1668" t="s">
        <v>60</v>
      </c>
      <c r="F1668" t="s">
        <v>49</v>
      </c>
      <c r="G1668" s="91">
        <v>18.99</v>
      </c>
      <c r="H1668" s="91"/>
      <c r="I1668" s="91">
        <v>17</v>
      </c>
      <c r="J1668" s="91">
        <v>322.83</v>
      </c>
    </row>
    <row r="1669" spans="1:10">
      <c r="A1669" t="s">
        <v>1091</v>
      </c>
      <c r="B1669" t="s">
        <v>1092</v>
      </c>
      <c r="C1669" t="s">
        <v>20</v>
      </c>
      <c r="D1669" t="s">
        <v>106</v>
      </c>
      <c r="E1669" t="s">
        <v>678</v>
      </c>
      <c r="F1669" t="s">
        <v>108</v>
      </c>
      <c r="G1669" s="91">
        <v>34.466</v>
      </c>
      <c r="H1669" s="91"/>
      <c r="I1669" s="91">
        <v>6000</v>
      </c>
      <c r="J1669" s="91">
        <v>206796</v>
      </c>
    </row>
    <row r="1670" spans="1:10">
      <c r="A1670" t="s">
        <v>1093</v>
      </c>
      <c r="B1670" t="s">
        <v>1094</v>
      </c>
      <c r="C1670" t="s">
        <v>20</v>
      </c>
      <c r="D1670" t="s">
        <v>114</v>
      </c>
      <c r="E1670" t="s">
        <v>579</v>
      </c>
      <c r="F1670" t="s">
        <v>23</v>
      </c>
      <c r="G1670" s="91">
        <v>259.38</v>
      </c>
      <c r="H1670" s="91"/>
      <c r="I1670" s="91">
        <v>1500</v>
      </c>
      <c r="J1670" s="91">
        <v>389070</v>
      </c>
    </row>
    <row r="1671" spans="1:10">
      <c r="A1671" t="s">
        <v>1095</v>
      </c>
      <c r="B1671" t="s">
        <v>1096</v>
      </c>
      <c r="C1671" t="s">
        <v>20</v>
      </c>
      <c r="D1671" t="s">
        <v>114</v>
      </c>
      <c r="E1671" t="s">
        <v>579</v>
      </c>
      <c r="F1671" t="s">
        <v>23</v>
      </c>
      <c r="G1671" s="91">
        <v>259.38</v>
      </c>
      <c r="H1671" s="91"/>
      <c r="I1671" s="91">
        <v>1500</v>
      </c>
      <c r="J1671" s="91">
        <v>389070</v>
      </c>
    </row>
    <row r="1672" spans="1:10">
      <c r="A1672" t="s">
        <v>1097</v>
      </c>
      <c r="B1672" t="s">
        <v>1098</v>
      </c>
      <c r="C1672" t="s">
        <v>20</v>
      </c>
      <c r="D1672" t="s">
        <v>114</v>
      </c>
      <c r="E1672" t="s">
        <v>579</v>
      </c>
      <c r="F1672" t="s">
        <v>23</v>
      </c>
      <c r="G1672" s="91">
        <v>259.38</v>
      </c>
      <c r="H1672" s="91"/>
      <c r="I1672" s="91">
        <v>1500</v>
      </c>
      <c r="J1672" s="91">
        <v>389070</v>
      </c>
    </row>
    <row r="1673" spans="1:10">
      <c r="A1673" t="s">
        <v>1099</v>
      </c>
      <c r="B1673" t="s">
        <v>1100</v>
      </c>
      <c r="C1673" t="s">
        <v>20</v>
      </c>
      <c r="D1673" t="s">
        <v>114</v>
      </c>
      <c r="E1673" t="s">
        <v>579</v>
      </c>
      <c r="F1673" t="s">
        <v>23</v>
      </c>
      <c r="G1673" s="91">
        <v>235.8</v>
      </c>
      <c r="H1673" s="91"/>
      <c r="I1673" s="91">
        <v>1500</v>
      </c>
      <c r="J1673" s="91">
        <v>353700</v>
      </c>
    </row>
    <row r="1674" spans="1:10">
      <c r="G1674">
        <f>+G468/30.45</f>
        <v>162317.996715928</v>
      </c>
    </row>
    <row r="1675" spans="1:10">
      <c r="G1675" s="91">
        <f>+G1674/13</f>
        <v>12485.9997473791</v>
      </c>
    </row>
    <row r="1688" spans="5:5">
      <c r="E1688" t="s">
        <v>1101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259"/>
  <sheetViews>
    <sheetView view="pageBreakPreview" zoomScaleNormal="100" topLeftCell="A97" workbookViewId="0">
      <selection activeCell="F6" sqref="F6"/>
    </sheetView>
  </sheetViews>
  <sheetFormatPr defaultColWidth="26.8888888888889" defaultRowHeight="14.4"/>
  <cols>
    <col min="1" max="1" width="6.44444444444444" customWidth="1"/>
    <col min="2" max="2" width="15.7777777777778" customWidth="1"/>
    <col min="3" max="3" width="22.7777777777778" style="1" customWidth="1"/>
    <col min="4" max="4" width="14.3333333333333" style="26" customWidth="1"/>
    <col min="5" max="5" width="29.6666666666667" style="1" customWidth="1"/>
    <col min="6" max="6" width="40" style="1" customWidth="1"/>
    <col min="7" max="7" width="11.3333333333333" style="26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5"/>
      <c r="F1" s="5"/>
      <c r="G1" s="3"/>
      <c r="H1" s="3"/>
      <c r="I1" s="3"/>
      <c r="J1" s="3"/>
    </row>
    <row r="2" customFormat="1" ht="18" spans="1:10">
      <c r="A2" s="72" t="s">
        <v>1103</v>
      </c>
      <c r="B2" s="73"/>
      <c r="C2" s="73"/>
      <c r="D2" s="73"/>
      <c r="E2" s="73"/>
      <c r="F2" s="73"/>
      <c r="G2" s="73"/>
      <c r="H2" s="73"/>
      <c r="I2" s="73"/>
      <c r="J2" s="74"/>
    </row>
    <row r="3" s="26" customFormat="1" spans="1:10">
      <c r="A3" s="6" t="s">
        <v>1104</v>
      </c>
      <c r="B3" s="6" t="s">
        <v>1105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>
      <c r="A4" s="75">
        <v>1</v>
      </c>
      <c r="B4" s="82" t="s">
        <v>1106</v>
      </c>
      <c r="C4" s="65" t="s">
        <v>10</v>
      </c>
      <c r="D4" s="55" t="s">
        <v>11</v>
      </c>
      <c r="E4" s="13" t="s">
        <v>12</v>
      </c>
      <c r="F4" s="13" t="s">
        <v>13</v>
      </c>
      <c r="G4" s="55" t="s">
        <v>14</v>
      </c>
      <c r="H4" s="15"/>
      <c r="I4" s="15"/>
      <c r="J4" s="15">
        <f t="shared" ref="J4:J19" si="0">+ROUND(PRODUCT(H4*I4),0)</f>
        <v>0</v>
      </c>
    </row>
    <row r="5" spans="1:10">
      <c r="A5" s="76"/>
      <c r="B5" s="83"/>
      <c r="C5" s="67"/>
      <c r="D5" s="55" t="s">
        <v>11</v>
      </c>
      <c r="E5" s="13" t="s">
        <v>12</v>
      </c>
      <c r="F5" s="13" t="s">
        <v>15</v>
      </c>
      <c r="G5" s="55" t="s">
        <v>14</v>
      </c>
      <c r="H5" s="15"/>
      <c r="I5" s="15"/>
      <c r="J5" s="15">
        <f t="shared" si="0"/>
        <v>0</v>
      </c>
    </row>
    <row r="6" spans="1:10">
      <c r="A6" s="76"/>
      <c r="B6" s="83"/>
      <c r="C6" s="68"/>
      <c r="D6" s="55" t="s">
        <v>11</v>
      </c>
      <c r="E6" s="13" t="s">
        <v>10</v>
      </c>
      <c r="F6" s="13" t="s">
        <v>16</v>
      </c>
      <c r="G6" s="55" t="s">
        <v>17</v>
      </c>
      <c r="H6" s="15"/>
      <c r="I6" s="15"/>
      <c r="J6" s="15">
        <f t="shared" si="0"/>
        <v>0</v>
      </c>
    </row>
    <row r="7" spans="1:10">
      <c r="A7" s="76"/>
      <c r="B7" s="83"/>
      <c r="C7" s="84" t="s">
        <v>19</v>
      </c>
      <c r="D7" s="55" t="s">
        <v>20</v>
      </c>
      <c r="E7" s="13" t="s">
        <v>21</v>
      </c>
      <c r="F7" s="13" t="s">
        <v>22</v>
      </c>
      <c r="G7" s="55" t="s">
        <v>23</v>
      </c>
      <c r="H7" s="15"/>
      <c r="I7" s="15"/>
      <c r="J7" s="15">
        <f t="shared" si="0"/>
        <v>0</v>
      </c>
    </row>
    <row r="8" spans="1:10">
      <c r="A8" s="76"/>
      <c r="B8" s="83"/>
      <c r="C8" s="85"/>
      <c r="D8" s="55" t="s">
        <v>11</v>
      </c>
      <c r="E8" s="13" t="s">
        <v>24</v>
      </c>
      <c r="F8" s="13" t="s">
        <v>25</v>
      </c>
      <c r="G8" s="55" t="s">
        <v>14</v>
      </c>
      <c r="H8" s="15"/>
      <c r="I8" s="15"/>
      <c r="J8" s="15">
        <f t="shared" si="0"/>
        <v>0</v>
      </c>
    </row>
    <row r="9" spans="1:10">
      <c r="A9" s="76"/>
      <c r="B9" s="83"/>
      <c r="C9" s="85"/>
      <c r="D9" s="55" t="s">
        <v>11</v>
      </c>
      <c r="E9" s="13" t="s">
        <v>24</v>
      </c>
      <c r="F9" s="13" t="s">
        <v>26</v>
      </c>
      <c r="G9" s="55" t="s">
        <v>14</v>
      </c>
      <c r="H9" s="15"/>
      <c r="I9" s="15"/>
      <c r="J9" s="15">
        <f t="shared" si="0"/>
        <v>0</v>
      </c>
    </row>
    <row r="10" spans="1:10">
      <c r="A10" s="76"/>
      <c r="B10" s="83"/>
      <c r="C10" s="85"/>
      <c r="D10" s="55" t="s">
        <v>11</v>
      </c>
      <c r="E10" s="13" t="s">
        <v>12</v>
      </c>
      <c r="F10" s="13" t="s">
        <v>27</v>
      </c>
      <c r="G10" s="55" t="s">
        <v>14</v>
      </c>
      <c r="H10" s="15"/>
      <c r="I10" s="15"/>
      <c r="J10" s="15">
        <f t="shared" si="0"/>
        <v>0</v>
      </c>
    </row>
    <row r="11" spans="1:10">
      <c r="A11" s="76"/>
      <c r="B11" s="83"/>
      <c r="C11" s="85"/>
      <c r="D11" s="55" t="s">
        <v>11</v>
      </c>
      <c r="E11" s="13" t="s">
        <v>12</v>
      </c>
      <c r="F11" s="13" t="s">
        <v>13</v>
      </c>
      <c r="G11" s="55" t="s">
        <v>14</v>
      </c>
      <c r="H11" s="15"/>
      <c r="I11" s="15"/>
      <c r="J11" s="15">
        <f t="shared" si="0"/>
        <v>0</v>
      </c>
    </row>
    <row r="12" spans="1:10">
      <c r="A12" s="76"/>
      <c r="B12" s="83"/>
      <c r="C12" s="85"/>
      <c r="D12" s="55" t="s">
        <v>11</v>
      </c>
      <c r="E12" s="13" t="s">
        <v>12</v>
      </c>
      <c r="F12" s="13" t="s">
        <v>15</v>
      </c>
      <c r="G12" s="55" t="s">
        <v>14</v>
      </c>
      <c r="H12" s="15"/>
      <c r="I12" s="15"/>
      <c r="J12" s="15">
        <f t="shared" si="0"/>
        <v>0</v>
      </c>
    </row>
    <row r="13" spans="1:10">
      <c r="A13" s="76"/>
      <c r="B13" s="83"/>
      <c r="C13" s="85"/>
      <c r="D13" s="55" t="s">
        <v>11</v>
      </c>
      <c r="E13" s="13" t="s">
        <v>12</v>
      </c>
      <c r="F13" s="13" t="s">
        <v>28</v>
      </c>
      <c r="G13" s="55" t="s">
        <v>14</v>
      </c>
      <c r="H13" s="15"/>
      <c r="I13" s="15"/>
      <c r="J13" s="15">
        <f t="shared" si="0"/>
        <v>0</v>
      </c>
    </row>
    <row r="14" ht="28.8" spans="1:10">
      <c r="A14" s="76"/>
      <c r="B14" s="83"/>
      <c r="C14" s="85"/>
      <c r="D14" s="55" t="s">
        <v>11</v>
      </c>
      <c r="E14" s="13" t="s">
        <v>29</v>
      </c>
      <c r="F14" s="22" t="s">
        <v>31</v>
      </c>
      <c r="G14" s="55" t="s">
        <v>32</v>
      </c>
      <c r="H14" s="15"/>
      <c r="I14" s="15"/>
      <c r="J14" s="15">
        <f t="shared" si="0"/>
        <v>0</v>
      </c>
    </row>
    <row r="15" spans="1:10">
      <c r="A15" s="76"/>
      <c r="B15" s="83"/>
      <c r="C15" s="85"/>
      <c r="D15" s="55" t="s">
        <v>11</v>
      </c>
      <c r="E15" s="13" t="s">
        <v>29</v>
      </c>
      <c r="F15" s="22" t="s">
        <v>33</v>
      </c>
      <c r="G15" s="55" t="s">
        <v>34</v>
      </c>
      <c r="H15" s="15"/>
      <c r="I15" s="15"/>
      <c r="J15" s="15">
        <f t="shared" si="0"/>
        <v>0</v>
      </c>
    </row>
    <row r="16" spans="1:10">
      <c r="A16" s="76"/>
      <c r="B16" s="83"/>
      <c r="C16" s="85"/>
      <c r="D16" s="55" t="s">
        <v>11</v>
      </c>
      <c r="E16" s="13" t="s">
        <v>40</v>
      </c>
      <c r="F16" s="13" t="s">
        <v>43</v>
      </c>
      <c r="G16" s="55" t="s">
        <v>32</v>
      </c>
      <c r="H16" s="15"/>
      <c r="I16" s="15"/>
      <c r="J16" s="15">
        <f t="shared" si="0"/>
        <v>0</v>
      </c>
    </row>
    <row r="17" spans="1:10">
      <c r="A17" s="76"/>
      <c r="B17" s="83"/>
      <c r="C17" s="85"/>
      <c r="D17" s="55" t="s">
        <v>20</v>
      </c>
      <c r="E17" s="13" t="s">
        <v>44</v>
      </c>
      <c r="F17" s="13" t="s">
        <v>45</v>
      </c>
      <c r="G17" s="55" t="s">
        <v>46</v>
      </c>
      <c r="H17" s="15"/>
      <c r="I17" s="15"/>
      <c r="J17" s="15">
        <f t="shared" si="0"/>
        <v>0</v>
      </c>
    </row>
    <row r="18" spans="1:10">
      <c r="A18" s="76"/>
      <c r="B18" s="83"/>
      <c r="C18" s="85"/>
      <c r="D18" s="55" t="s">
        <v>20</v>
      </c>
      <c r="E18" s="13" t="s">
        <v>47</v>
      </c>
      <c r="F18" s="13" t="s">
        <v>50</v>
      </c>
      <c r="G18" s="55" t="s">
        <v>49</v>
      </c>
      <c r="H18" s="15"/>
      <c r="I18" s="15"/>
      <c r="J18" s="15">
        <f t="shared" si="0"/>
        <v>0</v>
      </c>
    </row>
    <row r="19" spans="1:10">
      <c r="A19" s="76"/>
      <c r="B19" s="83"/>
      <c r="C19" s="85"/>
      <c r="D19" s="55" t="s">
        <v>20</v>
      </c>
      <c r="E19" s="13" t="s">
        <v>51</v>
      </c>
      <c r="F19" s="13" t="s">
        <v>52</v>
      </c>
      <c r="G19" s="55" t="s">
        <v>23</v>
      </c>
      <c r="H19" s="15"/>
      <c r="I19" s="15"/>
      <c r="J19" s="15">
        <f t="shared" si="0"/>
        <v>0</v>
      </c>
    </row>
    <row r="20" spans="1:10">
      <c r="A20" s="76"/>
      <c r="B20" s="83"/>
      <c r="C20" s="85"/>
      <c r="D20" s="55" t="s">
        <v>20</v>
      </c>
      <c r="E20" s="13" t="s">
        <v>51</v>
      </c>
      <c r="F20" s="13" t="s">
        <v>54</v>
      </c>
      <c r="G20" s="55" t="s">
        <v>23</v>
      </c>
      <c r="H20" s="15"/>
      <c r="I20" s="15"/>
      <c r="J20" s="15">
        <f t="shared" ref="J20:J73" si="1">+ROUND(PRODUCT(H20*I20),0)</f>
        <v>0</v>
      </c>
    </row>
    <row r="21" spans="1:10">
      <c r="A21" s="76"/>
      <c r="B21" s="83"/>
      <c r="C21" s="85"/>
      <c r="D21" s="55" t="s">
        <v>20</v>
      </c>
      <c r="E21" s="13" t="s">
        <v>55</v>
      </c>
      <c r="F21" s="13" t="s">
        <v>56</v>
      </c>
      <c r="G21" s="55" t="s">
        <v>57</v>
      </c>
      <c r="H21" s="15"/>
      <c r="I21" s="15"/>
      <c r="J21" s="15">
        <f t="shared" si="1"/>
        <v>0</v>
      </c>
    </row>
    <row r="22" spans="1:10">
      <c r="A22" s="76"/>
      <c r="B22" s="83"/>
      <c r="C22" s="85"/>
      <c r="D22" s="55" t="s">
        <v>20</v>
      </c>
      <c r="E22" s="13" t="s">
        <v>55</v>
      </c>
      <c r="F22" s="13" t="s">
        <v>58</v>
      </c>
      <c r="G22" s="55" t="s">
        <v>57</v>
      </c>
      <c r="H22" s="15"/>
      <c r="I22" s="15"/>
      <c r="J22" s="15">
        <f t="shared" si="1"/>
        <v>0</v>
      </c>
    </row>
    <row r="23" spans="1:10">
      <c r="A23" s="76"/>
      <c r="B23" s="83"/>
      <c r="C23" s="85"/>
      <c r="D23" s="55" t="s">
        <v>20</v>
      </c>
      <c r="E23" s="13" t="s">
        <v>59</v>
      </c>
      <c r="F23" s="13" t="s">
        <v>60</v>
      </c>
      <c r="G23" s="55" t="s">
        <v>49</v>
      </c>
      <c r="H23" s="15"/>
      <c r="I23" s="15"/>
      <c r="J23" s="15">
        <f t="shared" si="1"/>
        <v>0</v>
      </c>
    </row>
    <row r="24" spans="1:10">
      <c r="A24" s="76"/>
      <c r="B24" s="83"/>
      <c r="C24" s="85"/>
      <c r="D24" s="55" t="s">
        <v>20</v>
      </c>
      <c r="E24" s="13" t="s">
        <v>61</v>
      </c>
      <c r="F24" s="13" t="s">
        <v>62</v>
      </c>
      <c r="G24" s="55" t="s">
        <v>63</v>
      </c>
      <c r="H24" s="15"/>
      <c r="I24" s="15"/>
      <c r="J24" s="15">
        <f t="shared" si="1"/>
        <v>0</v>
      </c>
    </row>
    <row r="25" spans="1:10">
      <c r="A25" s="76"/>
      <c r="B25" s="83"/>
      <c r="C25" s="85"/>
      <c r="D25" s="55" t="s">
        <v>20</v>
      </c>
      <c r="E25" s="13" t="s">
        <v>61</v>
      </c>
      <c r="F25" s="13" t="s">
        <v>64</v>
      </c>
      <c r="G25" s="55" t="s">
        <v>23</v>
      </c>
      <c r="H25" s="15"/>
      <c r="I25" s="15"/>
      <c r="J25" s="15">
        <f t="shared" si="1"/>
        <v>0</v>
      </c>
    </row>
    <row r="26" spans="1:10">
      <c r="A26" s="76"/>
      <c r="B26" s="83"/>
      <c r="C26" s="85"/>
      <c r="D26" s="55" t="s">
        <v>20</v>
      </c>
      <c r="E26" s="13" t="s">
        <v>61</v>
      </c>
      <c r="F26" s="13" t="s">
        <v>65</v>
      </c>
      <c r="G26" s="55" t="s">
        <v>42</v>
      </c>
      <c r="H26" s="15"/>
      <c r="I26" s="15"/>
      <c r="J26" s="15">
        <f t="shared" si="1"/>
        <v>0</v>
      </c>
    </row>
    <row r="27" ht="28.8" spans="1:10">
      <c r="A27" s="76"/>
      <c r="B27" s="83"/>
      <c r="C27" s="85"/>
      <c r="D27" s="55" t="s">
        <v>20</v>
      </c>
      <c r="E27" s="13" t="s">
        <v>61</v>
      </c>
      <c r="F27" s="13" t="s">
        <v>66</v>
      </c>
      <c r="G27" s="55" t="s">
        <v>23</v>
      </c>
      <c r="H27" s="15"/>
      <c r="I27" s="15"/>
      <c r="J27" s="15">
        <f t="shared" si="1"/>
        <v>0</v>
      </c>
    </row>
    <row r="28" ht="28.8" spans="1:10">
      <c r="A28" s="76"/>
      <c r="B28" s="83"/>
      <c r="C28" s="85"/>
      <c r="D28" s="55" t="s">
        <v>20</v>
      </c>
      <c r="E28" s="13" t="s">
        <v>61</v>
      </c>
      <c r="F28" s="13" t="s">
        <v>67</v>
      </c>
      <c r="G28" s="55" t="s">
        <v>23</v>
      </c>
      <c r="H28" s="15"/>
      <c r="I28" s="15"/>
      <c r="J28" s="15">
        <f t="shared" si="1"/>
        <v>0</v>
      </c>
    </row>
    <row r="29" spans="1:10">
      <c r="A29" s="76"/>
      <c r="B29" s="83"/>
      <c r="C29" s="85"/>
      <c r="D29" s="55" t="s">
        <v>20</v>
      </c>
      <c r="E29" s="13" t="s">
        <v>61</v>
      </c>
      <c r="F29" s="13" t="s">
        <v>68</v>
      </c>
      <c r="G29" s="55" t="s">
        <v>23</v>
      </c>
      <c r="H29" s="15"/>
      <c r="I29" s="15"/>
      <c r="J29" s="15">
        <f t="shared" si="1"/>
        <v>0</v>
      </c>
    </row>
    <row r="30" spans="1:10">
      <c r="A30" s="76"/>
      <c r="B30" s="83"/>
      <c r="C30" s="85"/>
      <c r="D30" s="55" t="s">
        <v>20</v>
      </c>
      <c r="E30" s="13" t="s">
        <v>61</v>
      </c>
      <c r="F30" s="13" t="s">
        <v>69</v>
      </c>
      <c r="G30" s="55" t="s">
        <v>23</v>
      </c>
      <c r="H30" s="15"/>
      <c r="I30" s="15"/>
      <c r="J30" s="15">
        <f t="shared" si="1"/>
        <v>0</v>
      </c>
    </row>
    <row r="31" spans="1:10">
      <c r="A31" s="76"/>
      <c r="B31" s="83"/>
      <c r="C31" s="85"/>
      <c r="D31" s="55" t="s">
        <v>20</v>
      </c>
      <c r="E31" s="13" t="s">
        <v>61</v>
      </c>
      <c r="F31" s="13" t="s">
        <v>70</v>
      </c>
      <c r="G31" s="55" t="s">
        <v>23</v>
      </c>
      <c r="H31" s="15"/>
      <c r="I31" s="15"/>
      <c r="J31" s="15">
        <f t="shared" si="1"/>
        <v>0</v>
      </c>
    </row>
    <row r="32" spans="1:10">
      <c r="A32" s="76"/>
      <c r="B32" s="83"/>
      <c r="C32" s="85"/>
      <c r="D32" s="55" t="s">
        <v>20</v>
      </c>
      <c r="E32" s="13" t="s">
        <v>61</v>
      </c>
      <c r="F32" s="13" t="s">
        <v>71</v>
      </c>
      <c r="G32" s="55" t="s">
        <v>23</v>
      </c>
      <c r="H32" s="15"/>
      <c r="I32" s="15"/>
      <c r="J32" s="15">
        <f t="shared" si="1"/>
        <v>0</v>
      </c>
    </row>
    <row r="33" spans="1:10">
      <c r="A33" s="76"/>
      <c r="B33" s="83"/>
      <c r="C33" s="85"/>
      <c r="D33" s="55" t="s">
        <v>20</v>
      </c>
      <c r="E33" s="13" t="s">
        <v>61</v>
      </c>
      <c r="F33" s="13" t="s">
        <v>72</v>
      </c>
      <c r="G33" s="55" t="s">
        <v>23</v>
      </c>
      <c r="H33" s="15"/>
      <c r="I33" s="15"/>
      <c r="J33" s="15">
        <f t="shared" si="1"/>
        <v>0</v>
      </c>
    </row>
    <row r="34" spans="1:10">
      <c r="A34" s="76"/>
      <c r="B34" s="83"/>
      <c r="C34" s="85"/>
      <c r="D34" s="55" t="s">
        <v>20</v>
      </c>
      <c r="E34" s="13" t="s">
        <v>61</v>
      </c>
      <c r="F34" s="13" t="s">
        <v>73</v>
      </c>
      <c r="G34" s="55" t="s">
        <v>23</v>
      </c>
      <c r="H34" s="15"/>
      <c r="I34" s="15"/>
      <c r="J34" s="15">
        <f t="shared" si="1"/>
        <v>0</v>
      </c>
    </row>
    <row r="35" spans="1:10">
      <c r="A35" s="76"/>
      <c r="B35" s="83"/>
      <c r="C35" s="85"/>
      <c r="D35" s="55" t="s">
        <v>20</v>
      </c>
      <c r="E35" s="13" t="s">
        <v>61</v>
      </c>
      <c r="F35" s="13" t="s">
        <v>74</v>
      </c>
      <c r="G35" s="55" t="s">
        <v>63</v>
      </c>
      <c r="H35" s="15"/>
      <c r="I35" s="15"/>
      <c r="J35" s="15">
        <f t="shared" si="1"/>
        <v>0</v>
      </c>
    </row>
    <row r="36" spans="1:10">
      <c r="A36" s="76"/>
      <c r="B36" s="83"/>
      <c r="C36" s="85"/>
      <c r="D36" s="55" t="s">
        <v>20</v>
      </c>
      <c r="E36" s="13" t="s">
        <v>61</v>
      </c>
      <c r="F36" s="13" t="s">
        <v>75</v>
      </c>
      <c r="G36" s="55" t="s">
        <v>63</v>
      </c>
      <c r="H36" s="15"/>
      <c r="I36" s="15"/>
      <c r="J36" s="15">
        <f t="shared" si="1"/>
        <v>0</v>
      </c>
    </row>
    <row r="37" spans="1:10">
      <c r="A37" s="76"/>
      <c r="B37" s="83"/>
      <c r="C37" s="85"/>
      <c r="D37" s="55" t="s">
        <v>20</v>
      </c>
      <c r="E37" s="13" t="s">
        <v>61</v>
      </c>
      <c r="F37" s="13" t="s">
        <v>76</v>
      </c>
      <c r="G37" s="55" t="s">
        <v>23</v>
      </c>
      <c r="H37" s="15"/>
      <c r="I37" s="15"/>
      <c r="J37" s="15">
        <f t="shared" si="1"/>
        <v>0</v>
      </c>
    </row>
    <row r="38" spans="1:10">
      <c r="A38" s="76"/>
      <c r="B38" s="83"/>
      <c r="C38" s="85"/>
      <c r="D38" s="55" t="s">
        <v>20</v>
      </c>
      <c r="E38" s="13" t="s">
        <v>61</v>
      </c>
      <c r="F38" s="13" t="s">
        <v>77</v>
      </c>
      <c r="G38" s="55" t="s">
        <v>23</v>
      </c>
      <c r="H38" s="15"/>
      <c r="I38" s="15"/>
      <c r="J38" s="15">
        <f t="shared" si="1"/>
        <v>0</v>
      </c>
    </row>
    <row r="39" spans="1:10">
      <c r="A39" s="76"/>
      <c r="B39" s="83"/>
      <c r="C39" s="85"/>
      <c r="D39" s="55" t="s">
        <v>20</v>
      </c>
      <c r="E39" s="13" t="s">
        <v>61</v>
      </c>
      <c r="F39" s="13" t="s">
        <v>78</v>
      </c>
      <c r="G39" s="55" t="s">
        <v>49</v>
      </c>
      <c r="H39" s="15"/>
      <c r="I39" s="15"/>
      <c r="J39" s="15">
        <f t="shared" si="1"/>
        <v>0</v>
      </c>
    </row>
    <row r="40" spans="1:10">
      <c r="A40" s="76"/>
      <c r="B40" s="83"/>
      <c r="C40" s="85"/>
      <c r="D40" s="55" t="s">
        <v>20</v>
      </c>
      <c r="E40" s="13" t="s">
        <v>61</v>
      </c>
      <c r="F40" s="13" t="s">
        <v>79</v>
      </c>
      <c r="G40" s="55" t="s">
        <v>63</v>
      </c>
      <c r="H40" s="15"/>
      <c r="I40" s="15"/>
      <c r="J40" s="15">
        <f t="shared" si="1"/>
        <v>0</v>
      </c>
    </row>
    <row r="41" spans="1:10">
      <c r="A41" s="76"/>
      <c r="B41" s="83"/>
      <c r="C41" s="85"/>
      <c r="D41" s="55" t="s">
        <v>20</v>
      </c>
      <c r="E41" s="13" t="s">
        <v>61</v>
      </c>
      <c r="F41" s="13" t="s">
        <v>80</v>
      </c>
      <c r="G41" s="55" t="s">
        <v>63</v>
      </c>
      <c r="H41" s="15"/>
      <c r="I41" s="15"/>
      <c r="J41" s="15">
        <f t="shared" si="1"/>
        <v>0</v>
      </c>
    </row>
    <row r="42" spans="1:10">
      <c r="A42" s="76"/>
      <c r="B42" s="83"/>
      <c r="C42" s="85"/>
      <c r="D42" s="55" t="s">
        <v>20</v>
      </c>
      <c r="E42" s="13" t="s">
        <v>61</v>
      </c>
      <c r="F42" s="13" t="s">
        <v>81</v>
      </c>
      <c r="G42" s="55" t="s">
        <v>63</v>
      </c>
      <c r="H42" s="15"/>
      <c r="I42" s="15"/>
      <c r="J42" s="15">
        <f t="shared" si="1"/>
        <v>0</v>
      </c>
    </row>
    <row r="43" spans="1:10">
      <c r="A43" s="76"/>
      <c r="B43" s="83"/>
      <c r="C43" s="85"/>
      <c r="D43" s="55" t="s">
        <v>20</v>
      </c>
      <c r="E43" s="13" t="s">
        <v>61</v>
      </c>
      <c r="F43" s="13" t="s">
        <v>82</v>
      </c>
      <c r="G43" s="55" t="s">
        <v>23</v>
      </c>
      <c r="H43" s="15"/>
      <c r="I43" s="15"/>
      <c r="J43" s="15">
        <f t="shared" si="1"/>
        <v>0</v>
      </c>
    </row>
    <row r="44" spans="1:10">
      <c r="A44" s="76"/>
      <c r="B44" s="83"/>
      <c r="C44" s="85"/>
      <c r="D44" s="55" t="s">
        <v>20</v>
      </c>
      <c r="E44" s="13" t="s">
        <v>61</v>
      </c>
      <c r="F44" s="13" t="s">
        <v>83</v>
      </c>
      <c r="G44" s="55" t="s">
        <v>63</v>
      </c>
      <c r="H44" s="15"/>
      <c r="I44" s="15"/>
      <c r="J44" s="15">
        <f t="shared" si="1"/>
        <v>0</v>
      </c>
    </row>
    <row r="45" spans="1:10">
      <c r="A45" s="76"/>
      <c r="B45" s="83"/>
      <c r="C45" s="85"/>
      <c r="D45" s="55" t="s">
        <v>20</v>
      </c>
      <c r="E45" s="13" t="s">
        <v>84</v>
      </c>
      <c r="F45" s="13" t="s">
        <v>85</v>
      </c>
      <c r="G45" s="55" t="s">
        <v>49</v>
      </c>
      <c r="H45" s="15"/>
      <c r="I45" s="15"/>
      <c r="J45" s="15">
        <f t="shared" si="1"/>
        <v>0</v>
      </c>
    </row>
    <row r="46" spans="1:10">
      <c r="A46" s="76"/>
      <c r="B46" s="83"/>
      <c r="C46" s="85"/>
      <c r="D46" s="55" t="s">
        <v>20</v>
      </c>
      <c r="E46" s="13" t="s">
        <v>84</v>
      </c>
      <c r="F46" s="13" t="s">
        <v>86</v>
      </c>
      <c r="G46" s="55" t="s">
        <v>49</v>
      </c>
      <c r="H46" s="15"/>
      <c r="I46" s="15"/>
      <c r="J46" s="15">
        <f t="shared" si="1"/>
        <v>0</v>
      </c>
    </row>
    <row r="47" spans="1:10">
      <c r="A47" s="76"/>
      <c r="B47" s="83"/>
      <c r="C47" s="85"/>
      <c r="D47" s="55" t="s">
        <v>20</v>
      </c>
      <c r="E47" s="13" t="s">
        <v>84</v>
      </c>
      <c r="F47" s="13" t="s">
        <v>87</v>
      </c>
      <c r="G47" s="55" t="s">
        <v>49</v>
      </c>
      <c r="H47" s="15"/>
      <c r="I47" s="15"/>
      <c r="J47" s="15">
        <f t="shared" si="1"/>
        <v>0</v>
      </c>
    </row>
    <row r="48" spans="1:10">
      <c r="A48" s="76"/>
      <c r="B48" s="83"/>
      <c r="C48" s="85"/>
      <c r="D48" s="55" t="s">
        <v>20</v>
      </c>
      <c r="E48" s="13" t="s">
        <v>84</v>
      </c>
      <c r="F48" s="13" t="s">
        <v>88</v>
      </c>
      <c r="G48" s="55" t="s">
        <v>49</v>
      </c>
      <c r="H48" s="15"/>
      <c r="I48" s="15"/>
      <c r="J48" s="15">
        <f t="shared" si="1"/>
        <v>0</v>
      </c>
    </row>
    <row r="49" spans="1:10">
      <c r="A49" s="76"/>
      <c r="B49" s="83"/>
      <c r="C49" s="85"/>
      <c r="D49" s="55" t="s">
        <v>20</v>
      </c>
      <c r="E49" s="13" t="s">
        <v>84</v>
      </c>
      <c r="F49" s="13" t="s">
        <v>89</v>
      </c>
      <c r="G49" s="55" t="s">
        <v>49</v>
      </c>
      <c r="H49" s="15"/>
      <c r="I49" s="15"/>
      <c r="J49" s="15">
        <f t="shared" si="1"/>
        <v>0</v>
      </c>
    </row>
    <row r="50" spans="1:10">
      <c r="A50" s="76"/>
      <c r="B50" s="83"/>
      <c r="C50" s="85"/>
      <c r="D50" s="55" t="s">
        <v>20</v>
      </c>
      <c r="E50" s="13" t="s">
        <v>84</v>
      </c>
      <c r="F50" s="13" t="s">
        <v>90</v>
      </c>
      <c r="G50" s="55" t="s">
        <v>63</v>
      </c>
      <c r="H50" s="15"/>
      <c r="I50" s="15"/>
      <c r="J50" s="15">
        <f t="shared" si="1"/>
        <v>0</v>
      </c>
    </row>
    <row r="51" spans="1:10">
      <c r="A51" s="76"/>
      <c r="B51" s="83"/>
      <c r="C51" s="85"/>
      <c r="D51" s="55" t="s">
        <v>20</v>
      </c>
      <c r="E51" s="13" t="s">
        <v>91</v>
      </c>
      <c r="F51" s="13" t="s">
        <v>92</v>
      </c>
      <c r="G51" s="55" t="s">
        <v>23</v>
      </c>
      <c r="H51" s="15"/>
      <c r="I51" s="15"/>
      <c r="J51" s="15">
        <f t="shared" si="1"/>
        <v>0</v>
      </c>
    </row>
    <row r="52" spans="1:10">
      <c r="A52" s="76"/>
      <c r="B52" s="83"/>
      <c r="C52" s="85"/>
      <c r="D52" s="55" t="s">
        <v>20</v>
      </c>
      <c r="E52" s="13" t="s">
        <v>91</v>
      </c>
      <c r="F52" s="13" t="s">
        <v>93</v>
      </c>
      <c r="G52" s="55" t="s">
        <v>23</v>
      </c>
      <c r="H52" s="15"/>
      <c r="I52" s="15"/>
      <c r="J52" s="15">
        <f t="shared" si="1"/>
        <v>0</v>
      </c>
    </row>
    <row r="53" spans="1:10">
      <c r="A53" s="76"/>
      <c r="B53" s="83"/>
      <c r="C53" s="85"/>
      <c r="D53" s="55" t="s">
        <v>20</v>
      </c>
      <c r="E53" s="13" t="s">
        <v>91</v>
      </c>
      <c r="F53" s="13" t="s">
        <v>94</v>
      </c>
      <c r="G53" s="55" t="s">
        <v>23</v>
      </c>
      <c r="H53" s="15"/>
      <c r="I53" s="15"/>
      <c r="J53" s="15">
        <f t="shared" si="1"/>
        <v>0</v>
      </c>
    </row>
    <row r="54" spans="1:10">
      <c r="A54" s="76"/>
      <c r="B54" s="83"/>
      <c r="C54" s="85"/>
      <c r="D54" s="55" t="s">
        <v>20</v>
      </c>
      <c r="E54" s="13" t="s">
        <v>91</v>
      </c>
      <c r="F54" s="13" t="s">
        <v>95</v>
      </c>
      <c r="G54" s="55" t="s">
        <v>23</v>
      </c>
      <c r="H54" s="15"/>
      <c r="I54" s="15"/>
      <c r="J54" s="15">
        <f t="shared" si="1"/>
        <v>0</v>
      </c>
    </row>
    <row r="55" spans="1:10">
      <c r="A55" s="76"/>
      <c r="B55" s="83"/>
      <c r="C55" s="85"/>
      <c r="D55" s="55" t="s">
        <v>20</v>
      </c>
      <c r="E55" s="13" t="s">
        <v>91</v>
      </c>
      <c r="F55" s="13" t="s">
        <v>96</v>
      </c>
      <c r="G55" s="55" t="s">
        <v>23</v>
      </c>
      <c r="H55" s="15"/>
      <c r="I55" s="15"/>
      <c r="J55" s="15">
        <f t="shared" si="1"/>
        <v>0</v>
      </c>
    </row>
    <row r="56" spans="1:10">
      <c r="A56" s="76"/>
      <c r="B56" s="83"/>
      <c r="C56" s="85"/>
      <c r="D56" s="55" t="s">
        <v>20</v>
      </c>
      <c r="E56" s="13" t="s">
        <v>91</v>
      </c>
      <c r="F56" s="13" t="s">
        <v>97</v>
      </c>
      <c r="G56" s="55" t="s">
        <v>23</v>
      </c>
      <c r="H56" s="15"/>
      <c r="I56" s="15"/>
      <c r="J56" s="15">
        <f t="shared" si="1"/>
        <v>0</v>
      </c>
    </row>
    <row r="57" spans="1:10">
      <c r="A57" s="76"/>
      <c r="B57" s="83"/>
      <c r="C57" s="85"/>
      <c r="D57" s="55" t="s">
        <v>20</v>
      </c>
      <c r="E57" s="13" t="s">
        <v>104</v>
      </c>
      <c r="F57" s="13" t="s">
        <v>105</v>
      </c>
      <c r="G57" s="55" t="s">
        <v>49</v>
      </c>
      <c r="H57" s="15"/>
      <c r="I57" s="15"/>
      <c r="J57" s="15">
        <f t="shared" si="1"/>
        <v>0</v>
      </c>
    </row>
    <row r="58" spans="1:10">
      <c r="A58" s="76"/>
      <c r="B58" s="83"/>
      <c r="C58" s="85"/>
      <c r="D58" s="55" t="s">
        <v>20</v>
      </c>
      <c r="E58" s="13" t="s">
        <v>106</v>
      </c>
      <c r="F58" s="13" t="s">
        <v>107</v>
      </c>
      <c r="G58" s="55" t="s">
        <v>108</v>
      </c>
      <c r="H58" s="15"/>
      <c r="I58" s="15"/>
      <c r="J58" s="15">
        <f t="shared" si="1"/>
        <v>0</v>
      </c>
    </row>
    <row r="59" spans="1:10">
      <c r="A59" s="76"/>
      <c r="B59" s="83"/>
      <c r="C59" s="85"/>
      <c r="D59" s="55" t="s">
        <v>20</v>
      </c>
      <c r="E59" s="13" t="s">
        <v>106</v>
      </c>
      <c r="F59" s="13" t="s">
        <v>109</v>
      </c>
      <c r="G59" s="55" t="s">
        <v>108</v>
      </c>
      <c r="H59" s="15"/>
      <c r="I59" s="15"/>
      <c r="J59" s="15">
        <f t="shared" si="1"/>
        <v>0</v>
      </c>
    </row>
    <row r="60" spans="1:10">
      <c r="A60" s="76"/>
      <c r="B60" s="83"/>
      <c r="C60" s="85"/>
      <c r="D60" s="55" t="s">
        <v>20</v>
      </c>
      <c r="E60" s="13" t="s">
        <v>106</v>
      </c>
      <c r="F60" s="13" t="s">
        <v>110</v>
      </c>
      <c r="G60" s="55" t="s">
        <v>108</v>
      </c>
      <c r="H60" s="15"/>
      <c r="I60" s="15"/>
      <c r="J60" s="15">
        <f t="shared" si="1"/>
        <v>0</v>
      </c>
    </row>
    <row r="61" spans="1:10">
      <c r="A61" s="76"/>
      <c r="B61" s="83"/>
      <c r="C61" s="85"/>
      <c r="D61" s="55" t="s">
        <v>20</v>
      </c>
      <c r="E61" s="13" t="s">
        <v>112</v>
      </c>
      <c r="F61" s="13" t="s">
        <v>113</v>
      </c>
      <c r="G61" s="55" t="s">
        <v>46</v>
      </c>
      <c r="H61" s="15"/>
      <c r="I61" s="15"/>
      <c r="J61" s="15">
        <f t="shared" si="1"/>
        <v>0</v>
      </c>
    </row>
    <row r="62" spans="1:10">
      <c r="A62" s="76"/>
      <c r="B62" s="83"/>
      <c r="C62" s="85"/>
      <c r="D62" s="55" t="s">
        <v>20</v>
      </c>
      <c r="E62" s="13" t="s">
        <v>114</v>
      </c>
      <c r="F62" s="13" t="s">
        <v>117</v>
      </c>
      <c r="G62" s="55" t="s">
        <v>49</v>
      </c>
      <c r="H62" s="15"/>
      <c r="I62" s="15"/>
      <c r="J62" s="15">
        <f t="shared" si="1"/>
        <v>0</v>
      </c>
    </row>
    <row r="63" spans="1:10">
      <c r="A63" s="76"/>
      <c r="B63" s="83"/>
      <c r="C63" s="85"/>
      <c r="D63" s="55" t="s">
        <v>20</v>
      </c>
      <c r="E63" s="13" t="s">
        <v>114</v>
      </c>
      <c r="F63" s="13" t="s">
        <v>118</v>
      </c>
      <c r="G63" s="55" t="s">
        <v>49</v>
      </c>
      <c r="H63" s="15"/>
      <c r="I63" s="15"/>
      <c r="J63" s="15">
        <f t="shared" si="1"/>
        <v>0</v>
      </c>
    </row>
    <row r="64" spans="1:10">
      <c r="A64" s="76"/>
      <c r="B64" s="83"/>
      <c r="C64" s="85"/>
      <c r="D64" s="55" t="s">
        <v>20</v>
      </c>
      <c r="E64" s="13" t="s">
        <v>114</v>
      </c>
      <c r="F64" s="13" t="s">
        <v>119</v>
      </c>
      <c r="G64" s="55" t="s">
        <v>49</v>
      </c>
      <c r="H64" s="15"/>
      <c r="I64" s="15"/>
      <c r="J64" s="15">
        <f t="shared" si="1"/>
        <v>0</v>
      </c>
    </row>
    <row r="65" spans="1:10">
      <c r="A65" s="76"/>
      <c r="B65" s="83"/>
      <c r="C65" s="85"/>
      <c r="D65" s="55" t="s">
        <v>20</v>
      </c>
      <c r="E65" s="13" t="s">
        <v>114</v>
      </c>
      <c r="F65" s="13" t="s">
        <v>121</v>
      </c>
      <c r="G65" s="55" t="s">
        <v>49</v>
      </c>
      <c r="H65" s="15"/>
      <c r="I65" s="15"/>
      <c r="J65" s="15">
        <f t="shared" si="1"/>
        <v>0</v>
      </c>
    </row>
    <row r="66" spans="1:10">
      <c r="A66" s="76"/>
      <c r="B66" s="83"/>
      <c r="C66" s="85"/>
      <c r="D66" s="55" t="s">
        <v>20</v>
      </c>
      <c r="E66" s="13" t="s">
        <v>114</v>
      </c>
      <c r="F66" s="13" t="s">
        <v>123</v>
      </c>
      <c r="G66" s="55" t="s">
        <v>23</v>
      </c>
      <c r="H66" s="15"/>
      <c r="I66" s="15"/>
      <c r="J66" s="15">
        <f t="shared" si="1"/>
        <v>0</v>
      </c>
    </row>
    <row r="67" spans="1:10">
      <c r="A67" s="76"/>
      <c r="B67" s="83"/>
      <c r="C67" s="85"/>
      <c r="D67" s="55" t="s">
        <v>20</v>
      </c>
      <c r="E67" s="13" t="s">
        <v>114</v>
      </c>
      <c r="F67" s="13" t="s">
        <v>125</v>
      </c>
      <c r="G67" s="55" t="s">
        <v>49</v>
      </c>
      <c r="H67" s="15"/>
      <c r="I67" s="15"/>
      <c r="J67" s="15">
        <f t="shared" si="1"/>
        <v>0</v>
      </c>
    </row>
    <row r="68" spans="1:10">
      <c r="A68" s="76"/>
      <c r="B68" s="83"/>
      <c r="C68" s="85"/>
      <c r="D68" s="55" t="s">
        <v>20</v>
      </c>
      <c r="E68" s="13" t="s">
        <v>114</v>
      </c>
      <c r="F68" s="13" t="s">
        <v>126</v>
      </c>
      <c r="G68" s="55" t="s">
        <v>49</v>
      </c>
      <c r="H68" s="15"/>
      <c r="I68" s="15"/>
      <c r="J68" s="15">
        <f t="shared" si="1"/>
        <v>0</v>
      </c>
    </row>
    <row r="69" spans="1:10">
      <c r="A69" s="76"/>
      <c r="B69" s="83"/>
      <c r="C69" s="85"/>
      <c r="D69" s="55" t="s">
        <v>20</v>
      </c>
      <c r="E69" s="13" t="s">
        <v>114</v>
      </c>
      <c r="F69" s="13" t="s">
        <v>127</v>
      </c>
      <c r="G69" s="55" t="s">
        <v>49</v>
      </c>
      <c r="H69" s="15"/>
      <c r="I69" s="15"/>
      <c r="J69" s="15">
        <f t="shared" si="1"/>
        <v>0</v>
      </c>
    </row>
    <row r="70" spans="1:10">
      <c r="A70" s="76"/>
      <c r="B70" s="83"/>
      <c r="C70" s="85"/>
      <c r="D70" s="55" t="s">
        <v>20</v>
      </c>
      <c r="E70" s="13" t="s">
        <v>114</v>
      </c>
      <c r="F70" s="13" t="s">
        <v>128</v>
      </c>
      <c r="G70" s="55" t="s">
        <v>49</v>
      </c>
      <c r="H70" s="15"/>
      <c r="I70" s="15"/>
      <c r="J70" s="15">
        <f t="shared" si="1"/>
        <v>0</v>
      </c>
    </row>
    <row r="71" spans="1:10">
      <c r="A71" s="76"/>
      <c r="B71" s="83"/>
      <c r="C71" s="85"/>
      <c r="D71" s="55" t="s">
        <v>11</v>
      </c>
      <c r="E71" s="13" t="s">
        <v>129</v>
      </c>
      <c r="F71" s="13" t="s">
        <v>130</v>
      </c>
      <c r="G71" s="55" t="s">
        <v>34</v>
      </c>
      <c r="H71" s="15"/>
      <c r="I71" s="15"/>
      <c r="J71" s="15">
        <f t="shared" si="1"/>
        <v>0</v>
      </c>
    </row>
    <row r="72" spans="1:10">
      <c r="A72" s="76"/>
      <c r="B72" s="83"/>
      <c r="C72" s="85"/>
      <c r="D72" s="55" t="s">
        <v>11</v>
      </c>
      <c r="E72" s="13" t="s">
        <v>131</v>
      </c>
      <c r="F72" s="13" t="s">
        <v>132</v>
      </c>
      <c r="G72" s="55" t="s">
        <v>17</v>
      </c>
      <c r="H72" s="15"/>
      <c r="I72" s="15"/>
      <c r="J72" s="15">
        <f t="shared" si="1"/>
        <v>0</v>
      </c>
    </row>
    <row r="73" spans="1:10">
      <c r="A73" s="76"/>
      <c r="B73" s="83"/>
      <c r="C73" s="86"/>
      <c r="D73" s="55" t="s">
        <v>20</v>
      </c>
      <c r="E73" s="13" t="s">
        <v>133</v>
      </c>
      <c r="F73" s="13" t="s">
        <v>134</v>
      </c>
      <c r="G73" s="55" t="s">
        <v>63</v>
      </c>
      <c r="H73" s="15"/>
      <c r="I73" s="15"/>
      <c r="J73" s="15">
        <f t="shared" si="1"/>
        <v>0</v>
      </c>
    </row>
    <row r="74" ht="28.8" spans="1:10">
      <c r="A74" s="76"/>
      <c r="B74" s="83"/>
      <c r="C74" s="84" t="s">
        <v>138</v>
      </c>
      <c r="D74" s="55" t="s">
        <v>20</v>
      </c>
      <c r="E74" s="13" t="s">
        <v>21</v>
      </c>
      <c r="F74" s="13" t="s">
        <v>140</v>
      </c>
      <c r="G74" s="55" t="s">
        <v>23</v>
      </c>
      <c r="H74" s="15"/>
      <c r="I74" s="15"/>
      <c r="J74" s="15">
        <f t="shared" ref="J74:J115" si="2">+ROUND(PRODUCT(H74*I74),0)</f>
        <v>0</v>
      </c>
    </row>
    <row r="75" spans="1:10">
      <c r="A75" s="76"/>
      <c r="B75" s="83"/>
      <c r="C75" s="85"/>
      <c r="D75" s="55" t="s">
        <v>11</v>
      </c>
      <c r="E75" s="13" t="s">
        <v>12</v>
      </c>
      <c r="F75" s="87" t="s">
        <v>13</v>
      </c>
      <c r="G75" s="55" t="s">
        <v>14</v>
      </c>
      <c r="H75" s="15"/>
      <c r="I75" s="15"/>
      <c r="J75" s="15">
        <f t="shared" si="2"/>
        <v>0</v>
      </c>
    </row>
    <row r="76" spans="1:10">
      <c r="A76" s="76"/>
      <c r="B76" s="83"/>
      <c r="C76" s="85"/>
      <c r="D76" s="55" t="s">
        <v>20</v>
      </c>
      <c r="E76" s="13" t="s">
        <v>61</v>
      </c>
      <c r="F76" s="87" t="s">
        <v>71</v>
      </c>
      <c r="G76" s="55" t="s">
        <v>23</v>
      </c>
      <c r="H76" s="15"/>
      <c r="I76" s="15"/>
      <c r="J76" s="15">
        <f t="shared" si="2"/>
        <v>0</v>
      </c>
    </row>
    <row r="77" spans="1:10">
      <c r="A77" s="76"/>
      <c r="B77" s="83"/>
      <c r="C77" s="85"/>
      <c r="D77" s="55" t="s">
        <v>20</v>
      </c>
      <c r="E77" s="13" t="s">
        <v>61</v>
      </c>
      <c r="F77" s="87" t="s">
        <v>141</v>
      </c>
      <c r="G77" s="55" t="s">
        <v>23</v>
      </c>
      <c r="H77" s="15"/>
      <c r="I77" s="15"/>
      <c r="J77" s="15">
        <f t="shared" si="2"/>
        <v>0</v>
      </c>
    </row>
    <row r="78" spans="1:10">
      <c r="A78" s="76"/>
      <c r="B78" s="83"/>
      <c r="C78" s="85"/>
      <c r="D78" s="55" t="s">
        <v>20</v>
      </c>
      <c r="E78" s="13" t="s">
        <v>61</v>
      </c>
      <c r="F78" s="87" t="s">
        <v>142</v>
      </c>
      <c r="G78" s="55" t="s">
        <v>23</v>
      </c>
      <c r="H78" s="15"/>
      <c r="I78" s="15"/>
      <c r="J78" s="15">
        <f t="shared" si="2"/>
        <v>0</v>
      </c>
    </row>
    <row r="79" spans="1:10">
      <c r="A79" s="76"/>
      <c r="B79" s="83"/>
      <c r="C79" s="85"/>
      <c r="D79" s="55" t="s">
        <v>20</v>
      </c>
      <c r="E79" s="13" t="s">
        <v>61</v>
      </c>
      <c r="F79" s="87" t="s">
        <v>143</v>
      </c>
      <c r="G79" s="55" t="s">
        <v>144</v>
      </c>
      <c r="H79" s="15"/>
      <c r="I79" s="15"/>
      <c r="J79" s="15">
        <f t="shared" si="2"/>
        <v>0</v>
      </c>
    </row>
    <row r="80" spans="1:10">
      <c r="A80" s="76"/>
      <c r="B80" s="83"/>
      <c r="C80" s="85"/>
      <c r="D80" s="55" t="s">
        <v>20</v>
      </c>
      <c r="E80" s="13" t="s">
        <v>61</v>
      </c>
      <c r="F80" s="87" t="s">
        <v>145</v>
      </c>
      <c r="G80" s="55" t="s">
        <v>23</v>
      </c>
      <c r="H80" s="15"/>
      <c r="I80" s="15"/>
      <c r="J80" s="15">
        <f t="shared" si="2"/>
        <v>0</v>
      </c>
    </row>
    <row r="81" spans="1:10">
      <c r="A81" s="76"/>
      <c r="B81" s="83"/>
      <c r="C81" s="85"/>
      <c r="D81" s="55" t="s">
        <v>20</v>
      </c>
      <c r="E81" s="13" t="s">
        <v>61</v>
      </c>
      <c r="F81" s="87" t="s">
        <v>146</v>
      </c>
      <c r="G81" s="55" t="s">
        <v>23</v>
      </c>
      <c r="H81" s="15"/>
      <c r="I81" s="15"/>
      <c r="J81" s="15">
        <f t="shared" si="2"/>
        <v>0</v>
      </c>
    </row>
    <row r="82" spans="1:10">
      <c r="A82" s="76"/>
      <c r="B82" s="83"/>
      <c r="C82" s="85"/>
      <c r="D82" s="55" t="s">
        <v>20</v>
      </c>
      <c r="E82" s="13" t="s">
        <v>147</v>
      </c>
      <c r="F82" s="87" t="s">
        <v>148</v>
      </c>
      <c r="G82" s="55" t="s">
        <v>23</v>
      </c>
      <c r="H82" s="15"/>
      <c r="I82" s="15"/>
      <c r="J82" s="15">
        <f t="shared" si="2"/>
        <v>0</v>
      </c>
    </row>
    <row r="83" spans="1:10">
      <c r="A83" s="76"/>
      <c r="B83" s="83"/>
      <c r="C83" s="85"/>
      <c r="D83" s="55" t="s">
        <v>20</v>
      </c>
      <c r="E83" s="13" t="s">
        <v>147</v>
      </c>
      <c r="F83" s="87" t="s">
        <v>149</v>
      </c>
      <c r="G83" s="55" t="s">
        <v>42</v>
      </c>
      <c r="H83" s="15"/>
      <c r="I83" s="15"/>
      <c r="J83" s="15">
        <f t="shared" si="2"/>
        <v>0</v>
      </c>
    </row>
    <row r="84" spans="1:10">
      <c r="A84" s="76"/>
      <c r="B84" s="83"/>
      <c r="C84" s="85"/>
      <c r="D84" s="55" t="s">
        <v>20</v>
      </c>
      <c r="E84" s="13" t="s">
        <v>147</v>
      </c>
      <c r="F84" s="87" t="s">
        <v>150</v>
      </c>
      <c r="G84" s="55" t="s">
        <v>23</v>
      </c>
      <c r="H84" s="15"/>
      <c r="I84" s="15"/>
      <c r="J84" s="15">
        <f t="shared" si="2"/>
        <v>0</v>
      </c>
    </row>
    <row r="85" ht="28.8" spans="1:10">
      <c r="A85" s="76"/>
      <c r="B85" s="83"/>
      <c r="C85" s="85"/>
      <c r="D85" s="55" t="s">
        <v>20</v>
      </c>
      <c r="E85" s="13" t="s">
        <v>147</v>
      </c>
      <c r="F85" s="87" t="s">
        <v>151</v>
      </c>
      <c r="G85" s="55" t="s">
        <v>42</v>
      </c>
      <c r="H85" s="15"/>
      <c r="I85" s="15"/>
      <c r="J85" s="15">
        <f t="shared" si="2"/>
        <v>0</v>
      </c>
    </row>
    <row r="86" spans="1:10">
      <c r="A86" s="76"/>
      <c r="B86" s="83"/>
      <c r="C86" s="85"/>
      <c r="D86" s="55" t="s">
        <v>20</v>
      </c>
      <c r="E86" s="13" t="s">
        <v>147</v>
      </c>
      <c r="F86" s="87" t="s">
        <v>152</v>
      </c>
      <c r="G86" s="55" t="s">
        <v>23</v>
      </c>
      <c r="H86" s="15"/>
      <c r="I86" s="15"/>
      <c r="J86" s="15">
        <f t="shared" si="2"/>
        <v>0</v>
      </c>
    </row>
    <row r="87" spans="1:10">
      <c r="A87" s="76"/>
      <c r="B87" s="83"/>
      <c r="C87" s="85"/>
      <c r="D87" s="55" t="s">
        <v>20</v>
      </c>
      <c r="E87" s="13" t="s">
        <v>147</v>
      </c>
      <c r="F87" s="87" t="s">
        <v>153</v>
      </c>
      <c r="G87" s="55" t="s">
        <v>23</v>
      </c>
      <c r="H87" s="15"/>
      <c r="I87" s="15"/>
      <c r="J87" s="15">
        <f t="shared" si="2"/>
        <v>0</v>
      </c>
    </row>
    <row r="88" spans="1:10">
      <c r="A88" s="76"/>
      <c r="B88" s="83"/>
      <c r="C88" s="85"/>
      <c r="D88" s="55" t="s">
        <v>20</v>
      </c>
      <c r="E88" s="13" t="s">
        <v>147</v>
      </c>
      <c r="F88" s="87" t="s">
        <v>154</v>
      </c>
      <c r="G88" s="55" t="s">
        <v>23</v>
      </c>
      <c r="H88" s="15"/>
      <c r="I88" s="15"/>
      <c r="J88" s="15">
        <f t="shared" si="2"/>
        <v>0</v>
      </c>
    </row>
    <row r="89" spans="1:10">
      <c r="A89" s="76"/>
      <c r="B89" s="83"/>
      <c r="C89" s="85"/>
      <c r="D89" s="55" t="s">
        <v>20</v>
      </c>
      <c r="E89" s="13" t="s">
        <v>147</v>
      </c>
      <c r="F89" s="87" t="s">
        <v>155</v>
      </c>
      <c r="G89" s="55" t="s">
        <v>23</v>
      </c>
      <c r="H89" s="15"/>
      <c r="I89" s="15"/>
      <c r="J89" s="15">
        <f t="shared" si="2"/>
        <v>0</v>
      </c>
    </row>
    <row r="90" spans="1:10">
      <c r="A90" s="76"/>
      <c r="B90" s="83"/>
      <c r="C90" s="85"/>
      <c r="D90" s="55" t="s">
        <v>20</v>
      </c>
      <c r="E90" s="13" t="s">
        <v>147</v>
      </c>
      <c r="F90" s="87" t="s">
        <v>156</v>
      </c>
      <c r="G90" s="55" t="s">
        <v>42</v>
      </c>
      <c r="H90" s="15"/>
      <c r="I90" s="15"/>
      <c r="J90" s="15">
        <f t="shared" si="2"/>
        <v>0</v>
      </c>
    </row>
    <row r="91" spans="1:10">
      <c r="A91" s="76"/>
      <c r="B91" s="83"/>
      <c r="C91" s="85"/>
      <c r="D91" s="55" t="s">
        <v>20</v>
      </c>
      <c r="E91" s="13" t="s">
        <v>147</v>
      </c>
      <c r="F91" s="87" t="s">
        <v>157</v>
      </c>
      <c r="G91" s="55" t="s">
        <v>42</v>
      </c>
      <c r="H91" s="15"/>
      <c r="I91" s="15"/>
      <c r="J91" s="15">
        <f t="shared" si="2"/>
        <v>0</v>
      </c>
    </row>
    <row r="92" spans="1:10">
      <c r="A92" s="76"/>
      <c r="B92" s="83"/>
      <c r="C92" s="85"/>
      <c r="D92" s="55" t="s">
        <v>20</v>
      </c>
      <c r="E92" s="13" t="s">
        <v>147</v>
      </c>
      <c r="F92" s="13" t="s">
        <v>158</v>
      </c>
      <c r="G92" s="55" t="s">
        <v>42</v>
      </c>
      <c r="H92" s="15"/>
      <c r="I92" s="15"/>
      <c r="J92" s="15">
        <f t="shared" si="2"/>
        <v>0</v>
      </c>
    </row>
    <row r="93" spans="1:10">
      <c r="A93" s="76"/>
      <c r="B93" s="83"/>
      <c r="C93" s="85"/>
      <c r="D93" s="55" t="s">
        <v>20</v>
      </c>
      <c r="E93" s="13" t="s">
        <v>147</v>
      </c>
      <c r="F93" s="13" t="s">
        <v>159</v>
      </c>
      <c r="G93" s="55" t="s">
        <v>42</v>
      </c>
      <c r="H93" s="15"/>
      <c r="I93" s="15"/>
      <c r="J93" s="15">
        <f t="shared" si="2"/>
        <v>0</v>
      </c>
    </row>
    <row r="94" spans="1:10">
      <c r="A94" s="76"/>
      <c r="B94" s="83"/>
      <c r="C94" s="85"/>
      <c r="D94" s="55" t="s">
        <v>20</v>
      </c>
      <c r="E94" s="13" t="s">
        <v>147</v>
      </c>
      <c r="F94" s="13" t="s">
        <v>160</v>
      </c>
      <c r="G94" s="55" t="s">
        <v>23</v>
      </c>
      <c r="H94" s="15"/>
      <c r="I94" s="15"/>
      <c r="J94" s="15">
        <f t="shared" si="2"/>
        <v>0</v>
      </c>
    </row>
    <row r="95" spans="1:10">
      <c r="A95" s="76"/>
      <c r="B95" s="83"/>
      <c r="C95" s="85"/>
      <c r="D95" s="55" t="s">
        <v>20</v>
      </c>
      <c r="E95" s="13" t="s">
        <v>147</v>
      </c>
      <c r="F95" s="13" t="s">
        <v>161</v>
      </c>
      <c r="G95" s="55" t="s">
        <v>23</v>
      </c>
      <c r="H95" s="15"/>
      <c r="I95" s="15"/>
      <c r="J95" s="15">
        <f t="shared" si="2"/>
        <v>0</v>
      </c>
    </row>
    <row r="96" spans="1:10">
      <c r="A96" s="76"/>
      <c r="B96" s="83"/>
      <c r="C96" s="85"/>
      <c r="D96" s="55" t="s">
        <v>20</v>
      </c>
      <c r="E96" s="13" t="s">
        <v>147</v>
      </c>
      <c r="F96" s="13" t="s">
        <v>162</v>
      </c>
      <c r="G96" s="55" t="s">
        <v>23</v>
      </c>
      <c r="H96" s="15"/>
      <c r="I96" s="15"/>
      <c r="J96" s="15">
        <f t="shared" si="2"/>
        <v>0</v>
      </c>
    </row>
    <row r="97" spans="1:10">
      <c r="A97" s="76"/>
      <c r="B97" s="83"/>
      <c r="C97" s="85"/>
      <c r="D97" s="55" t="s">
        <v>20</v>
      </c>
      <c r="E97" s="13" t="s">
        <v>147</v>
      </c>
      <c r="F97" s="13" t="s">
        <v>163</v>
      </c>
      <c r="G97" s="55" t="s">
        <v>23</v>
      </c>
      <c r="H97" s="15"/>
      <c r="I97" s="15"/>
      <c r="J97" s="15">
        <f t="shared" si="2"/>
        <v>0</v>
      </c>
    </row>
    <row r="98" spans="1:10">
      <c r="A98" s="76"/>
      <c r="B98" s="83"/>
      <c r="C98" s="85"/>
      <c r="D98" s="55" t="s">
        <v>20</v>
      </c>
      <c r="E98" s="13" t="s">
        <v>147</v>
      </c>
      <c r="F98" s="13" t="s">
        <v>164</v>
      </c>
      <c r="G98" s="55" t="s">
        <v>42</v>
      </c>
      <c r="H98" s="15"/>
      <c r="I98" s="15"/>
      <c r="J98" s="15">
        <f t="shared" si="2"/>
        <v>0</v>
      </c>
    </row>
    <row r="99" spans="1:10">
      <c r="A99" s="76"/>
      <c r="B99" s="83"/>
      <c r="C99" s="85"/>
      <c r="D99" s="55" t="s">
        <v>20</v>
      </c>
      <c r="E99" s="13" t="s">
        <v>147</v>
      </c>
      <c r="F99" s="13" t="s">
        <v>165</v>
      </c>
      <c r="G99" s="55" t="s">
        <v>42</v>
      </c>
      <c r="H99" s="15"/>
      <c r="I99" s="15"/>
      <c r="J99" s="15">
        <f t="shared" si="2"/>
        <v>0</v>
      </c>
    </row>
    <row r="100" spans="1:10">
      <c r="A100" s="76"/>
      <c r="B100" s="83"/>
      <c r="C100" s="85"/>
      <c r="D100" s="55" t="s">
        <v>20</v>
      </c>
      <c r="E100" s="13" t="s">
        <v>147</v>
      </c>
      <c r="F100" s="13" t="s">
        <v>166</v>
      </c>
      <c r="G100" s="55" t="s">
        <v>42</v>
      </c>
      <c r="H100" s="15"/>
      <c r="I100" s="15"/>
      <c r="J100" s="15">
        <f t="shared" si="2"/>
        <v>0</v>
      </c>
    </row>
    <row r="101" spans="1:10">
      <c r="A101" s="76"/>
      <c r="B101" s="83"/>
      <c r="C101" s="85"/>
      <c r="D101" s="55" t="s">
        <v>20</v>
      </c>
      <c r="E101" s="13" t="s">
        <v>147</v>
      </c>
      <c r="F101" s="13" t="s">
        <v>167</v>
      </c>
      <c r="G101" s="55" t="s">
        <v>42</v>
      </c>
      <c r="H101" s="15"/>
      <c r="I101" s="15"/>
      <c r="J101" s="15">
        <f t="shared" si="2"/>
        <v>0</v>
      </c>
    </row>
    <row r="102" spans="1:10">
      <c r="A102" s="76"/>
      <c r="B102" s="83"/>
      <c r="C102" s="85"/>
      <c r="D102" s="55" t="s">
        <v>20</v>
      </c>
      <c r="E102" s="13" t="s">
        <v>147</v>
      </c>
      <c r="F102" s="13" t="s">
        <v>168</v>
      </c>
      <c r="G102" s="55" t="s">
        <v>42</v>
      </c>
      <c r="H102" s="15"/>
      <c r="I102" s="15"/>
      <c r="J102" s="15">
        <f t="shared" si="2"/>
        <v>0</v>
      </c>
    </row>
    <row r="103" spans="1:10">
      <c r="A103" s="76"/>
      <c r="B103" s="83"/>
      <c r="C103" s="85"/>
      <c r="D103" s="55" t="s">
        <v>20</v>
      </c>
      <c r="E103" s="13" t="s">
        <v>147</v>
      </c>
      <c r="F103" s="13" t="s">
        <v>169</v>
      </c>
      <c r="G103" s="55" t="s">
        <v>23</v>
      </c>
      <c r="H103" s="15"/>
      <c r="I103" s="15"/>
      <c r="J103" s="15">
        <f t="shared" si="2"/>
        <v>0</v>
      </c>
    </row>
    <row r="104" spans="1:10">
      <c r="A104" s="76"/>
      <c r="B104" s="83"/>
      <c r="C104" s="85"/>
      <c r="D104" s="55" t="s">
        <v>20</v>
      </c>
      <c r="E104" s="13" t="s">
        <v>147</v>
      </c>
      <c r="F104" s="13" t="s">
        <v>170</v>
      </c>
      <c r="G104" s="55" t="s">
        <v>23</v>
      </c>
      <c r="H104" s="15"/>
      <c r="I104" s="15"/>
      <c r="J104" s="15">
        <f t="shared" si="2"/>
        <v>0</v>
      </c>
    </row>
    <row r="105" spans="1:10">
      <c r="A105" s="76"/>
      <c r="B105" s="83"/>
      <c r="C105" s="85"/>
      <c r="D105" s="55" t="s">
        <v>20</v>
      </c>
      <c r="E105" s="13" t="s">
        <v>147</v>
      </c>
      <c r="F105" s="13" t="s">
        <v>171</v>
      </c>
      <c r="G105" s="55" t="s">
        <v>23</v>
      </c>
      <c r="H105" s="15"/>
      <c r="I105" s="15"/>
      <c r="J105" s="15">
        <f t="shared" si="2"/>
        <v>0</v>
      </c>
    </row>
    <row r="106" spans="1:10">
      <c r="A106" s="76"/>
      <c r="B106" s="83"/>
      <c r="C106" s="85"/>
      <c r="D106" s="55" t="s">
        <v>20</v>
      </c>
      <c r="E106" s="13" t="s">
        <v>147</v>
      </c>
      <c r="F106" s="13" t="s">
        <v>172</v>
      </c>
      <c r="G106" s="55" t="s">
        <v>23</v>
      </c>
      <c r="H106" s="15"/>
      <c r="I106" s="15"/>
      <c r="J106" s="15">
        <f t="shared" si="2"/>
        <v>0</v>
      </c>
    </row>
    <row r="107" spans="1:10">
      <c r="A107" s="76"/>
      <c r="B107" s="83"/>
      <c r="C107" s="85"/>
      <c r="D107" s="55" t="s">
        <v>20</v>
      </c>
      <c r="E107" s="13" t="s">
        <v>147</v>
      </c>
      <c r="F107" s="13" t="s">
        <v>173</v>
      </c>
      <c r="G107" s="55" t="s">
        <v>23</v>
      </c>
      <c r="H107" s="15"/>
      <c r="I107" s="15"/>
      <c r="J107" s="15">
        <f t="shared" si="2"/>
        <v>0</v>
      </c>
    </row>
    <row r="108" spans="1:10">
      <c r="A108" s="76"/>
      <c r="B108" s="83"/>
      <c r="C108" s="85"/>
      <c r="D108" s="55" t="s">
        <v>20</v>
      </c>
      <c r="E108" s="13" t="s">
        <v>147</v>
      </c>
      <c r="F108" s="13" t="s">
        <v>174</v>
      </c>
      <c r="G108" s="55" t="s">
        <v>175</v>
      </c>
      <c r="H108" s="15"/>
      <c r="I108" s="15"/>
      <c r="J108" s="15">
        <f t="shared" si="2"/>
        <v>0</v>
      </c>
    </row>
    <row r="109" spans="1:10">
      <c r="A109" s="76"/>
      <c r="B109" s="83"/>
      <c r="C109" s="85"/>
      <c r="D109" s="55" t="s">
        <v>20</v>
      </c>
      <c r="E109" s="13" t="s">
        <v>147</v>
      </c>
      <c r="F109" s="13" t="s">
        <v>176</v>
      </c>
      <c r="G109" s="55" t="s">
        <v>42</v>
      </c>
      <c r="H109" s="15"/>
      <c r="I109" s="15"/>
      <c r="J109" s="15">
        <f t="shared" si="2"/>
        <v>0</v>
      </c>
    </row>
    <row r="110" spans="1:10">
      <c r="A110" s="76"/>
      <c r="B110" s="83"/>
      <c r="C110" s="85"/>
      <c r="D110" s="55" t="s">
        <v>20</v>
      </c>
      <c r="E110" s="13" t="s">
        <v>147</v>
      </c>
      <c r="F110" s="13" t="s">
        <v>177</v>
      </c>
      <c r="G110" s="55" t="s">
        <v>42</v>
      </c>
      <c r="H110" s="15"/>
      <c r="I110" s="15"/>
      <c r="J110" s="15">
        <f t="shared" si="2"/>
        <v>0</v>
      </c>
    </row>
    <row r="111" spans="1:10">
      <c r="A111" s="76"/>
      <c r="B111" s="83"/>
      <c r="C111" s="85"/>
      <c r="D111" s="55" t="s">
        <v>20</v>
      </c>
      <c r="E111" s="13" t="s">
        <v>147</v>
      </c>
      <c r="F111" s="13" t="s">
        <v>178</v>
      </c>
      <c r="G111" s="55" t="s">
        <v>42</v>
      </c>
      <c r="H111" s="15"/>
      <c r="I111" s="15"/>
      <c r="J111" s="15">
        <f t="shared" si="2"/>
        <v>0</v>
      </c>
    </row>
    <row r="112" spans="1:10">
      <c r="A112" s="76"/>
      <c r="B112" s="83"/>
      <c r="C112" s="85"/>
      <c r="D112" s="55" t="s">
        <v>20</v>
      </c>
      <c r="E112" s="13" t="s">
        <v>147</v>
      </c>
      <c r="F112" s="13" t="s">
        <v>179</v>
      </c>
      <c r="G112" s="55" t="s">
        <v>42</v>
      </c>
      <c r="H112" s="15"/>
      <c r="I112" s="15"/>
      <c r="J112" s="15">
        <f t="shared" si="2"/>
        <v>0</v>
      </c>
    </row>
    <row r="113" spans="1:10">
      <c r="A113" s="76"/>
      <c r="B113" s="83"/>
      <c r="C113" s="85"/>
      <c r="D113" s="55" t="s">
        <v>20</v>
      </c>
      <c r="E113" s="13" t="s">
        <v>147</v>
      </c>
      <c r="F113" s="13" t="s">
        <v>180</v>
      </c>
      <c r="G113" s="55" t="s">
        <v>42</v>
      </c>
      <c r="H113" s="15"/>
      <c r="I113" s="15"/>
      <c r="J113" s="15">
        <f t="shared" si="2"/>
        <v>0</v>
      </c>
    </row>
    <row r="114" spans="1:10">
      <c r="A114" s="76"/>
      <c r="B114" s="83"/>
      <c r="C114" s="85"/>
      <c r="D114" s="55" t="s">
        <v>20</v>
      </c>
      <c r="E114" s="13" t="s">
        <v>147</v>
      </c>
      <c r="F114" s="13" t="s">
        <v>181</v>
      </c>
      <c r="G114" s="55" t="s">
        <v>42</v>
      </c>
      <c r="H114" s="15"/>
      <c r="I114" s="15"/>
      <c r="J114" s="15">
        <f t="shared" si="2"/>
        <v>0</v>
      </c>
    </row>
    <row r="115" spans="1:10">
      <c r="A115" s="76"/>
      <c r="B115" s="83"/>
      <c r="C115" s="85"/>
      <c r="D115" s="55" t="s">
        <v>20</v>
      </c>
      <c r="E115" s="13" t="s">
        <v>147</v>
      </c>
      <c r="F115" s="13" t="s">
        <v>182</v>
      </c>
      <c r="G115" s="55" t="s">
        <v>42</v>
      </c>
      <c r="H115" s="15"/>
      <c r="I115" s="15"/>
      <c r="J115" s="15">
        <f t="shared" si="2"/>
        <v>0</v>
      </c>
    </row>
    <row r="116" spans="1:10">
      <c r="A116" s="76"/>
      <c r="B116" s="83"/>
      <c r="C116" s="85"/>
      <c r="D116" s="55" t="s">
        <v>20</v>
      </c>
      <c r="E116" s="13" t="s">
        <v>147</v>
      </c>
      <c r="F116" s="13" t="s">
        <v>183</v>
      </c>
      <c r="G116" s="55" t="s">
        <v>175</v>
      </c>
      <c r="H116" s="15"/>
      <c r="I116" s="15"/>
      <c r="J116" s="15">
        <f t="shared" ref="J116:J179" si="3">+ROUND(PRODUCT(H116*I116),0)</f>
        <v>0</v>
      </c>
    </row>
    <row r="117" spans="1:10">
      <c r="A117" s="76"/>
      <c r="B117" s="83"/>
      <c r="C117" s="85"/>
      <c r="D117" s="55" t="s">
        <v>20</v>
      </c>
      <c r="E117" s="13" t="s">
        <v>147</v>
      </c>
      <c r="F117" s="13" t="s">
        <v>184</v>
      </c>
      <c r="G117" s="55" t="s">
        <v>23</v>
      </c>
      <c r="H117" s="15"/>
      <c r="I117" s="15"/>
      <c r="J117" s="15">
        <f t="shared" si="3"/>
        <v>0</v>
      </c>
    </row>
    <row r="118" spans="1:10">
      <c r="A118" s="76"/>
      <c r="B118" s="83"/>
      <c r="C118" s="85"/>
      <c r="D118" s="55" t="s">
        <v>20</v>
      </c>
      <c r="E118" s="13" t="s">
        <v>147</v>
      </c>
      <c r="F118" s="13" t="s">
        <v>185</v>
      </c>
      <c r="G118" s="55" t="s">
        <v>23</v>
      </c>
      <c r="H118" s="15"/>
      <c r="I118" s="15"/>
      <c r="J118" s="15">
        <f t="shared" si="3"/>
        <v>0</v>
      </c>
    </row>
    <row r="119" spans="1:10">
      <c r="A119" s="76"/>
      <c r="B119" s="83"/>
      <c r="C119" s="85"/>
      <c r="D119" s="55" t="s">
        <v>20</v>
      </c>
      <c r="E119" s="13" t="s">
        <v>147</v>
      </c>
      <c r="F119" s="13" t="s">
        <v>186</v>
      </c>
      <c r="G119" s="55" t="s">
        <v>42</v>
      </c>
      <c r="H119" s="15"/>
      <c r="I119" s="15"/>
      <c r="J119" s="15">
        <f t="shared" si="3"/>
        <v>0</v>
      </c>
    </row>
    <row r="120" spans="1:10">
      <c r="A120" s="76"/>
      <c r="B120" s="83"/>
      <c r="C120" s="85"/>
      <c r="D120" s="55" t="s">
        <v>20</v>
      </c>
      <c r="E120" s="13" t="s">
        <v>147</v>
      </c>
      <c r="F120" s="13" t="s">
        <v>187</v>
      </c>
      <c r="G120" s="55" t="s">
        <v>42</v>
      </c>
      <c r="H120" s="15"/>
      <c r="I120" s="15"/>
      <c r="J120" s="15">
        <f t="shared" si="3"/>
        <v>0</v>
      </c>
    </row>
    <row r="121" spans="1:10">
      <c r="A121" s="76"/>
      <c r="B121" s="83"/>
      <c r="C121" s="85"/>
      <c r="D121" s="55" t="s">
        <v>20</v>
      </c>
      <c r="E121" s="13" t="s">
        <v>147</v>
      </c>
      <c r="F121" s="13" t="s">
        <v>188</v>
      </c>
      <c r="G121" s="55" t="s">
        <v>42</v>
      </c>
      <c r="H121" s="15"/>
      <c r="I121" s="15"/>
      <c r="J121" s="15">
        <f t="shared" si="3"/>
        <v>0</v>
      </c>
    </row>
    <row r="122" spans="1:10">
      <c r="A122" s="76"/>
      <c r="B122" s="83"/>
      <c r="C122" s="85"/>
      <c r="D122" s="55" t="s">
        <v>20</v>
      </c>
      <c r="E122" s="13" t="s">
        <v>147</v>
      </c>
      <c r="F122" s="13" t="s">
        <v>189</v>
      </c>
      <c r="G122" s="55" t="s">
        <v>42</v>
      </c>
      <c r="H122" s="15"/>
      <c r="I122" s="15"/>
      <c r="J122" s="15">
        <f t="shared" si="3"/>
        <v>0</v>
      </c>
    </row>
    <row r="123" spans="1:10">
      <c r="A123" s="76"/>
      <c r="B123" s="83"/>
      <c r="C123" s="85"/>
      <c r="D123" s="55" t="s">
        <v>20</v>
      </c>
      <c r="E123" s="13" t="s">
        <v>147</v>
      </c>
      <c r="F123" s="13" t="s">
        <v>190</v>
      </c>
      <c r="G123" s="55" t="s">
        <v>42</v>
      </c>
      <c r="H123" s="15"/>
      <c r="I123" s="15"/>
      <c r="J123" s="15">
        <f t="shared" si="3"/>
        <v>0</v>
      </c>
    </row>
    <row r="124" spans="1:10">
      <c r="A124" s="76"/>
      <c r="B124" s="83"/>
      <c r="C124" s="85"/>
      <c r="D124" s="55" t="s">
        <v>20</v>
      </c>
      <c r="E124" s="13" t="s">
        <v>147</v>
      </c>
      <c r="F124" s="13" t="s">
        <v>191</v>
      </c>
      <c r="G124" s="55" t="s">
        <v>23</v>
      </c>
      <c r="H124" s="15"/>
      <c r="I124" s="15"/>
      <c r="J124" s="15">
        <f t="shared" si="3"/>
        <v>0</v>
      </c>
    </row>
    <row r="125" spans="1:10">
      <c r="A125" s="76"/>
      <c r="B125" s="83"/>
      <c r="C125" s="85"/>
      <c r="D125" s="55" t="s">
        <v>20</v>
      </c>
      <c r="E125" s="13" t="s">
        <v>147</v>
      </c>
      <c r="F125" s="13" t="s">
        <v>192</v>
      </c>
      <c r="G125" s="55" t="s">
        <v>23</v>
      </c>
      <c r="H125" s="15"/>
      <c r="I125" s="15"/>
      <c r="J125" s="15">
        <f t="shared" si="3"/>
        <v>0</v>
      </c>
    </row>
    <row r="126" spans="1:10">
      <c r="A126" s="76"/>
      <c r="B126" s="83"/>
      <c r="C126" s="85"/>
      <c r="D126" s="55" t="s">
        <v>20</v>
      </c>
      <c r="E126" s="13" t="s">
        <v>147</v>
      </c>
      <c r="F126" s="13" t="s">
        <v>193</v>
      </c>
      <c r="G126" s="55" t="s">
        <v>42</v>
      </c>
      <c r="H126" s="15"/>
      <c r="I126" s="15"/>
      <c r="J126" s="15">
        <f t="shared" si="3"/>
        <v>0</v>
      </c>
    </row>
    <row r="127" spans="1:10">
      <c r="A127" s="76"/>
      <c r="B127" s="83"/>
      <c r="C127" s="85"/>
      <c r="D127" s="55" t="s">
        <v>20</v>
      </c>
      <c r="E127" s="13" t="s">
        <v>147</v>
      </c>
      <c r="F127" s="13" t="s">
        <v>194</v>
      </c>
      <c r="G127" s="55" t="s">
        <v>42</v>
      </c>
      <c r="H127" s="15"/>
      <c r="I127" s="15"/>
      <c r="J127" s="15">
        <f t="shared" si="3"/>
        <v>0</v>
      </c>
    </row>
    <row r="128" spans="1:10">
      <c r="A128" s="76"/>
      <c r="B128" s="83"/>
      <c r="C128" s="85"/>
      <c r="D128" s="55" t="s">
        <v>20</v>
      </c>
      <c r="E128" s="13" t="s">
        <v>147</v>
      </c>
      <c r="F128" s="13" t="s">
        <v>195</v>
      </c>
      <c r="G128" s="55" t="s">
        <v>23</v>
      </c>
      <c r="H128" s="15"/>
      <c r="I128" s="15"/>
      <c r="J128" s="15">
        <f t="shared" si="3"/>
        <v>0</v>
      </c>
    </row>
    <row r="129" spans="1:10">
      <c r="A129" s="76"/>
      <c r="B129" s="83"/>
      <c r="C129" s="85"/>
      <c r="D129" s="55" t="s">
        <v>20</v>
      </c>
      <c r="E129" s="13" t="s">
        <v>147</v>
      </c>
      <c r="F129" s="13" t="s">
        <v>196</v>
      </c>
      <c r="G129" s="55" t="s">
        <v>42</v>
      </c>
      <c r="H129" s="15"/>
      <c r="I129" s="15"/>
      <c r="J129" s="15">
        <f t="shared" si="3"/>
        <v>0</v>
      </c>
    </row>
    <row r="130" spans="1:10">
      <c r="A130" s="76"/>
      <c r="B130" s="83"/>
      <c r="C130" s="85"/>
      <c r="D130" s="55" t="s">
        <v>20</v>
      </c>
      <c r="E130" s="13" t="s">
        <v>147</v>
      </c>
      <c r="F130" s="13" t="s">
        <v>197</v>
      </c>
      <c r="G130" s="55" t="s">
        <v>23</v>
      </c>
      <c r="H130" s="15"/>
      <c r="I130" s="15"/>
      <c r="J130" s="15">
        <f t="shared" si="3"/>
        <v>0</v>
      </c>
    </row>
    <row r="131" spans="1:10">
      <c r="A131" s="76"/>
      <c r="B131" s="83"/>
      <c r="C131" s="85"/>
      <c r="D131" s="55" t="s">
        <v>20</v>
      </c>
      <c r="E131" s="13" t="s">
        <v>147</v>
      </c>
      <c r="F131" s="13" t="s">
        <v>198</v>
      </c>
      <c r="G131" s="55" t="s">
        <v>23</v>
      </c>
      <c r="H131" s="15"/>
      <c r="I131" s="15"/>
      <c r="J131" s="15">
        <f t="shared" si="3"/>
        <v>0</v>
      </c>
    </row>
    <row r="132" spans="1:10">
      <c r="A132" s="76"/>
      <c r="B132" s="83"/>
      <c r="C132" s="85"/>
      <c r="D132" s="55" t="s">
        <v>20</v>
      </c>
      <c r="E132" s="13" t="s">
        <v>147</v>
      </c>
      <c r="F132" s="13" t="s">
        <v>199</v>
      </c>
      <c r="G132" s="55" t="s">
        <v>23</v>
      </c>
      <c r="H132" s="15"/>
      <c r="I132" s="15"/>
      <c r="J132" s="15">
        <f t="shared" si="3"/>
        <v>0</v>
      </c>
    </row>
    <row r="133" spans="1:10">
      <c r="A133" s="76"/>
      <c r="B133" s="83"/>
      <c r="C133" s="85"/>
      <c r="D133" s="55" t="s">
        <v>20</v>
      </c>
      <c r="E133" s="13" t="s">
        <v>147</v>
      </c>
      <c r="F133" s="13" t="s">
        <v>200</v>
      </c>
      <c r="G133" s="55" t="s">
        <v>23</v>
      </c>
      <c r="H133" s="15"/>
      <c r="I133" s="15"/>
      <c r="J133" s="15">
        <f t="shared" si="3"/>
        <v>0</v>
      </c>
    </row>
    <row r="134" spans="1:10">
      <c r="A134" s="76"/>
      <c r="B134" s="83"/>
      <c r="C134" s="85"/>
      <c r="D134" s="55" t="s">
        <v>20</v>
      </c>
      <c r="E134" s="13" t="s">
        <v>147</v>
      </c>
      <c r="F134" s="13" t="s">
        <v>201</v>
      </c>
      <c r="G134" s="55" t="s">
        <v>23</v>
      </c>
      <c r="H134" s="15"/>
      <c r="I134" s="15"/>
      <c r="J134" s="15">
        <f t="shared" si="3"/>
        <v>0</v>
      </c>
    </row>
    <row r="135" spans="1:10">
      <c r="A135" s="76"/>
      <c r="B135" s="83"/>
      <c r="C135" s="85"/>
      <c r="D135" s="55" t="s">
        <v>20</v>
      </c>
      <c r="E135" s="13" t="s">
        <v>147</v>
      </c>
      <c r="F135" s="13" t="s">
        <v>202</v>
      </c>
      <c r="G135" s="55" t="s">
        <v>23</v>
      </c>
      <c r="H135" s="15"/>
      <c r="I135" s="15"/>
      <c r="J135" s="15">
        <f t="shared" si="3"/>
        <v>0</v>
      </c>
    </row>
    <row r="136" spans="1:10">
      <c r="A136" s="76"/>
      <c r="B136" s="83"/>
      <c r="C136" s="85"/>
      <c r="D136" s="55" t="s">
        <v>20</v>
      </c>
      <c r="E136" s="13" t="s">
        <v>147</v>
      </c>
      <c r="F136" s="13" t="s">
        <v>203</v>
      </c>
      <c r="G136" s="55" t="s">
        <v>23</v>
      </c>
      <c r="H136" s="15"/>
      <c r="I136" s="15"/>
      <c r="J136" s="15">
        <f t="shared" si="3"/>
        <v>0</v>
      </c>
    </row>
    <row r="137" spans="1:10">
      <c r="A137" s="76"/>
      <c r="B137" s="83"/>
      <c r="C137" s="85"/>
      <c r="D137" s="55" t="s">
        <v>20</v>
      </c>
      <c r="E137" s="13" t="s">
        <v>147</v>
      </c>
      <c r="F137" s="13" t="s">
        <v>204</v>
      </c>
      <c r="G137" s="55" t="s">
        <v>23</v>
      </c>
      <c r="H137" s="15"/>
      <c r="I137" s="15"/>
      <c r="J137" s="15">
        <f t="shared" si="3"/>
        <v>0</v>
      </c>
    </row>
    <row r="138" spans="1:10">
      <c r="A138" s="76"/>
      <c r="B138" s="83"/>
      <c r="C138" s="85"/>
      <c r="D138" s="55" t="s">
        <v>20</v>
      </c>
      <c r="E138" s="13" t="s">
        <v>147</v>
      </c>
      <c r="F138" s="13" t="s">
        <v>205</v>
      </c>
      <c r="G138" s="55" t="s">
        <v>23</v>
      </c>
      <c r="H138" s="15"/>
      <c r="I138" s="15"/>
      <c r="J138" s="15">
        <f t="shared" si="3"/>
        <v>0</v>
      </c>
    </row>
    <row r="139" spans="1:10">
      <c r="A139" s="76"/>
      <c r="B139" s="83"/>
      <c r="C139" s="85"/>
      <c r="D139" s="55" t="s">
        <v>20</v>
      </c>
      <c r="E139" s="13" t="s">
        <v>147</v>
      </c>
      <c r="F139" s="13" t="s">
        <v>206</v>
      </c>
      <c r="G139" s="55" t="s">
        <v>23</v>
      </c>
      <c r="H139" s="15"/>
      <c r="I139" s="15"/>
      <c r="J139" s="15">
        <f t="shared" si="3"/>
        <v>0</v>
      </c>
    </row>
    <row r="140" spans="1:10">
      <c r="A140" s="76"/>
      <c r="B140" s="83"/>
      <c r="C140" s="85"/>
      <c r="D140" s="55" t="s">
        <v>20</v>
      </c>
      <c r="E140" s="13" t="s">
        <v>147</v>
      </c>
      <c r="F140" s="13" t="s">
        <v>207</v>
      </c>
      <c r="G140" s="55" t="s">
        <v>23</v>
      </c>
      <c r="H140" s="15"/>
      <c r="I140" s="15"/>
      <c r="J140" s="15">
        <f t="shared" si="3"/>
        <v>0</v>
      </c>
    </row>
    <row r="141" spans="1:10">
      <c r="A141" s="76"/>
      <c r="B141" s="83"/>
      <c r="C141" s="85"/>
      <c r="D141" s="55" t="s">
        <v>20</v>
      </c>
      <c r="E141" s="13" t="s">
        <v>147</v>
      </c>
      <c r="F141" s="13" t="s">
        <v>208</v>
      </c>
      <c r="G141" s="55" t="s">
        <v>23</v>
      </c>
      <c r="H141" s="15"/>
      <c r="I141" s="15"/>
      <c r="J141" s="15">
        <f t="shared" si="3"/>
        <v>0</v>
      </c>
    </row>
    <row r="142" ht="28.8" spans="1:10">
      <c r="A142" s="76"/>
      <c r="B142" s="83"/>
      <c r="C142" s="85"/>
      <c r="D142" s="55" t="s">
        <v>20</v>
      </c>
      <c r="E142" s="13" t="s">
        <v>147</v>
      </c>
      <c r="F142" s="13" t="s">
        <v>209</v>
      </c>
      <c r="G142" s="55" t="s">
        <v>23</v>
      </c>
      <c r="H142" s="15"/>
      <c r="I142" s="15"/>
      <c r="J142" s="15">
        <f t="shared" si="3"/>
        <v>0</v>
      </c>
    </row>
    <row r="143" spans="1:10">
      <c r="A143" s="76"/>
      <c r="B143" s="83"/>
      <c r="C143" s="85"/>
      <c r="D143" s="55" t="s">
        <v>20</v>
      </c>
      <c r="E143" s="13" t="s">
        <v>147</v>
      </c>
      <c r="F143" s="13" t="s">
        <v>210</v>
      </c>
      <c r="G143" s="55" t="s">
        <v>23</v>
      </c>
      <c r="H143" s="15"/>
      <c r="I143" s="15"/>
      <c r="J143" s="15">
        <f t="shared" si="3"/>
        <v>0</v>
      </c>
    </row>
    <row r="144" spans="1:10">
      <c r="A144" s="76"/>
      <c r="B144" s="83"/>
      <c r="C144" s="85"/>
      <c r="D144" s="55" t="s">
        <v>20</v>
      </c>
      <c r="E144" s="13" t="s">
        <v>147</v>
      </c>
      <c r="F144" s="13" t="s">
        <v>211</v>
      </c>
      <c r="G144" s="55" t="s">
        <v>23</v>
      </c>
      <c r="H144" s="15"/>
      <c r="I144" s="15"/>
      <c r="J144" s="15">
        <f t="shared" si="3"/>
        <v>0</v>
      </c>
    </row>
    <row r="145" spans="1:10">
      <c r="A145" s="76"/>
      <c r="B145" s="83"/>
      <c r="C145" s="85"/>
      <c r="D145" s="55" t="s">
        <v>20</v>
      </c>
      <c r="E145" s="13" t="s">
        <v>147</v>
      </c>
      <c r="F145" s="13" t="s">
        <v>212</v>
      </c>
      <c r="G145" s="55" t="s">
        <v>23</v>
      </c>
      <c r="H145" s="15"/>
      <c r="I145" s="15"/>
      <c r="J145" s="15">
        <f t="shared" si="3"/>
        <v>0</v>
      </c>
    </row>
    <row r="146" spans="1:10">
      <c r="A146" s="76"/>
      <c r="B146" s="83"/>
      <c r="C146" s="85"/>
      <c r="D146" s="55" t="s">
        <v>20</v>
      </c>
      <c r="E146" s="13" t="s">
        <v>147</v>
      </c>
      <c r="F146" s="13" t="s">
        <v>213</v>
      </c>
      <c r="G146" s="55" t="s">
        <v>23</v>
      </c>
      <c r="H146" s="15"/>
      <c r="I146" s="15"/>
      <c r="J146" s="15">
        <f t="shared" si="3"/>
        <v>0</v>
      </c>
    </row>
    <row r="147" spans="1:10">
      <c r="A147" s="76"/>
      <c r="B147" s="83"/>
      <c r="C147" s="85"/>
      <c r="D147" s="55" t="s">
        <v>20</v>
      </c>
      <c r="E147" s="13" t="s">
        <v>147</v>
      </c>
      <c r="F147" s="13" t="s">
        <v>214</v>
      </c>
      <c r="G147" s="55" t="s">
        <v>23</v>
      </c>
      <c r="H147" s="15"/>
      <c r="I147" s="15"/>
      <c r="J147" s="15">
        <f t="shared" si="3"/>
        <v>0</v>
      </c>
    </row>
    <row r="148" spans="1:10">
      <c r="A148" s="76"/>
      <c r="B148" s="83"/>
      <c r="C148" s="85"/>
      <c r="D148" s="55" t="s">
        <v>20</v>
      </c>
      <c r="E148" s="13" t="s">
        <v>147</v>
      </c>
      <c r="F148" s="13" t="s">
        <v>215</v>
      </c>
      <c r="G148" s="55" t="s">
        <v>23</v>
      </c>
      <c r="H148" s="15"/>
      <c r="I148" s="15"/>
      <c r="J148" s="15">
        <f t="shared" si="3"/>
        <v>0</v>
      </c>
    </row>
    <row r="149" spans="1:10">
      <c r="A149" s="76"/>
      <c r="B149" s="83"/>
      <c r="C149" s="85"/>
      <c r="D149" s="55" t="s">
        <v>20</v>
      </c>
      <c r="E149" s="13" t="s">
        <v>147</v>
      </c>
      <c r="F149" s="13" t="s">
        <v>216</v>
      </c>
      <c r="G149" s="55" t="s">
        <v>23</v>
      </c>
      <c r="H149" s="15"/>
      <c r="I149" s="15"/>
      <c r="J149" s="15">
        <f t="shared" si="3"/>
        <v>0</v>
      </c>
    </row>
    <row r="150" ht="28.8" spans="1:10">
      <c r="A150" s="76"/>
      <c r="B150" s="83"/>
      <c r="C150" s="85"/>
      <c r="D150" s="55" t="s">
        <v>20</v>
      </c>
      <c r="E150" s="13" t="s">
        <v>147</v>
      </c>
      <c r="F150" s="13" t="s">
        <v>217</v>
      </c>
      <c r="G150" s="55" t="s">
        <v>23</v>
      </c>
      <c r="H150" s="15"/>
      <c r="I150" s="15"/>
      <c r="J150" s="15">
        <f t="shared" si="3"/>
        <v>0</v>
      </c>
    </row>
    <row r="151" spans="1:10">
      <c r="A151" s="76"/>
      <c r="B151" s="83"/>
      <c r="C151" s="85"/>
      <c r="D151" s="55" t="s">
        <v>20</v>
      </c>
      <c r="E151" s="13" t="s">
        <v>147</v>
      </c>
      <c r="F151" s="13" t="s">
        <v>218</v>
      </c>
      <c r="G151" s="55" t="s">
        <v>23</v>
      </c>
      <c r="H151" s="15"/>
      <c r="I151" s="15"/>
      <c r="J151" s="15">
        <f t="shared" si="3"/>
        <v>0</v>
      </c>
    </row>
    <row r="152" spans="1:10">
      <c r="A152" s="76"/>
      <c r="B152" s="83"/>
      <c r="C152" s="85"/>
      <c r="D152" s="55" t="s">
        <v>20</v>
      </c>
      <c r="E152" s="13" t="s">
        <v>147</v>
      </c>
      <c r="F152" s="13" t="s">
        <v>219</v>
      </c>
      <c r="G152" s="55" t="s">
        <v>23</v>
      </c>
      <c r="H152" s="15"/>
      <c r="I152" s="15"/>
      <c r="J152" s="15">
        <f t="shared" si="3"/>
        <v>0</v>
      </c>
    </row>
    <row r="153" spans="1:10">
      <c r="A153" s="76"/>
      <c r="B153" s="83"/>
      <c r="C153" s="85"/>
      <c r="D153" s="55" t="s">
        <v>20</v>
      </c>
      <c r="E153" s="13" t="s">
        <v>147</v>
      </c>
      <c r="F153" s="13" t="s">
        <v>220</v>
      </c>
      <c r="G153" s="55" t="s">
        <v>42</v>
      </c>
      <c r="H153" s="15"/>
      <c r="I153" s="15"/>
      <c r="J153" s="15">
        <f t="shared" si="3"/>
        <v>0</v>
      </c>
    </row>
    <row r="154" spans="1:10">
      <c r="A154" s="76"/>
      <c r="B154" s="83"/>
      <c r="C154" s="85"/>
      <c r="D154" s="55" t="s">
        <v>20</v>
      </c>
      <c r="E154" s="13" t="s">
        <v>147</v>
      </c>
      <c r="F154" s="13" t="s">
        <v>221</v>
      </c>
      <c r="G154" s="55" t="s">
        <v>23</v>
      </c>
      <c r="H154" s="15"/>
      <c r="I154" s="15"/>
      <c r="J154" s="15">
        <f t="shared" si="3"/>
        <v>0</v>
      </c>
    </row>
    <row r="155" spans="1:10">
      <c r="A155" s="76"/>
      <c r="B155" s="83"/>
      <c r="C155" s="85"/>
      <c r="D155" s="55" t="s">
        <v>20</v>
      </c>
      <c r="E155" s="13" t="s">
        <v>147</v>
      </c>
      <c r="F155" s="13" t="s">
        <v>222</v>
      </c>
      <c r="G155" s="55" t="s">
        <v>23</v>
      </c>
      <c r="H155" s="15"/>
      <c r="I155" s="15"/>
      <c r="J155" s="15">
        <f t="shared" si="3"/>
        <v>0</v>
      </c>
    </row>
    <row r="156" spans="1:10">
      <c r="A156" s="76"/>
      <c r="B156" s="83"/>
      <c r="C156" s="85"/>
      <c r="D156" s="55" t="s">
        <v>20</v>
      </c>
      <c r="E156" s="13" t="s">
        <v>147</v>
      </c>
      <c r="F156" s="13" t="s">
        <v>223</v>
      </c>
      <c r="G156" s="55" t="s">
        <v>23</v>
      </c>
      <c r="H156" s="15"/>
      <c r="I156" s="15"/>
      <c r="J156" s="15">
        <f t="shared" si="3"/>
        <v>0</v>
      </c>
    </row>
    <row r="157" spans="1:10">
      <c r="A157" s="76"/>
      <c r="B157" s="83"/>
      <c r="C157" s="85"/>
      <c r="D157" s="55" t="s">
        <v>20</v>
      </c>
      <c r="E157" s="13" t="s">
        <v>147</v>
      </c>
      <c r="F157" s="13" t="s">
        <v>224</v>
      </c>
      <c r="G157" s="55" t="s">
        <v>23</v>
      </c>
      <c r="H157" s="15"/>
      <c r="I157" s="15"/>
      <c r="J157" s="15">
        <f t="shared" si="3"/>
        <v>0</v>
      </c>
    </row>
    <row r="158" spans="1:10">
      <c r="A158" s="76"/>
      <c r="B158" s="83"/>
      <c r="C158" s="85"/>
      <c r="D158" s="55" t="s">
        <v>20</v>
      </c>
      <c r="E158" s="13" t="s">
        <v>147</v>
      </c>
      <c r="F158" s="13" t="s">
        <v>225</v>
      </c>
      <c r="G158" s="55" t="s">
        <v>23</v>
      </c>
      <c r="H158" s="15"/>
      <c r="I158" s="15"/>
      <c r="J158" s="15">
        <f t="shared" si="3"/>
        <v>0</v>
      </c>
    </row>
    <row r="159" spans="1:10">
      <c r="A159" s="76"/>
      <c r="B159" s="83"/>
      <c r="C159" s="85"/>
      <c r="D159" s="55" t="s">
        <v>20</v>
      </c>
      <c r="E159" s="13" t="s">
        <v>147</v>
      </c>
      <c r="F159" s="13" t="s">
        <v>226</v>
      </c>
      <c r="G159" s="55" t="s">
        <v>23</v>
      </c>
      <c r="H159" s="15"/>
      <c r="I159" s="15"/>
      <c r="J159" s="15">
        <f t="shared" si="3"/>
        <v>0</v>
      </c>
    </row>
    <row r="160" spans="1:10">
      <c r="A160" s="76"/>
      <c r="B160" s="83"/>
      <c r="C160" s="85"/>
      <c r="D160" s="55" t="s">
        <v>20</v>
      </c>
      <c r="E160" s="13" t="s">
        <v>147</v>
      </c>
      <c r="F160" s="13" t="s">
        <v>227</v>
      </c>
      <c r="G160" s="55" t="s">
        <v>23</v>
      </c>
      <c r="H160" s="15"/>
      <c r="I160" s="15"/>
      <c r="J160" s="15">
        <f t="shared" si="3"/>
        <v>0</v>
      </c>
    </row>
    <row r="161" spans="1:10">
      <c r="A161" s="76"/>
      <c r="B161" s="83"/>
      <c r="C161" s="85"/>
      <c r="D161" s="55" t="s">
        <v>20</v>
      </c>
      <c r="E161" s="13" t="s">
        <v>147</v>
      </c>
      <c r="F161" s="13" t="s">
        <v>228</v>
      </c>
      <c r="G161" s="55" t="s">
        <v>23</v>
      </c>
      <c r="H161" s="15"/>
      <c r="I161" s="15"/>
      <c r="J161" s="15">
        <f t="shared" si="3"/>
        <v>0</v>
      </c>
    </row>
    <row r="162" spans="1:10">
      <c r="A162" s="76"/>
      <c r="B162" s="83"/>
      <c r="C162" s="85"/>
      <c r="D162" s="55" t="s">
        <v>20</v>
      </c>
      <c r="E162" s="13" t="s">
        <v>147</v>
      </c>
      <c r="F162" s="13" t="s">
        <v>229</v>
      </c>
      <c r="G162" s="55" t="s">
        <v>23</v>
      </c>
      <c r="H162" s="15"/>
      <c r="I162" s="15"/>
      <c r="J162" s="15">
        <f t="shared" si="3"/>
        <v>0</v>
      </c>
    </row>
    <row r="163" spans="1:10">
      <c r="A163" s="76"/>
      <c r="B163" s="83"/>
      <c r="C163" s="85"/>
      <c r="D163" s="55" t="s">
        <v>20</v>
      </c>
      <c r="E163" s="13" t="s">
        <v>147</v>
      </c>
      <c r="F163" s="13" t="s">
        <v>230</v>
      </c>
      <c r="G163" s="55" t="s">
        <v>23</v>
      </c>
      <c r="H163" s="15"/>
      <c r="I163" s="15"/>
      <c r="J163" s="15">
        <f t="shared" si="3"/>
        <v>0</v>
      </c>
    </row>
    <row r="164" spans="1:10">
      <c r="A164" s="76"/>
      <c r="B164" s="83"/>
      <c r="C164" s="85"/>
      <c r="D164" s="55" t="s">
        <v>20</v>
      </c>
      <c r="E164" s="13" t="s">
        <v>147</v>
      </c>
      <c r="F164" s="13" t="s">
        <v>231</v>
      </c>
      <c r="G164" s="55" t="s">
        <v>23</v>
      </c>
      <c r="H164" s="15"/>
      <c r="I164" s="15"/>
      <c r="J164" s="15">
        <f t="shared" si="3"/>
        <v>0</v>
      </c>
    </row>
    <row r="165" spans="1:10">
      <c r="A165" s="76"/>
      <c r="B165" s="83"/>
      <c r="C165" s="85"/>
      <c r="D165" s="55" t="s">
        <v>20</v>
      </c>
      <c r="E165" s="13" t="s">
        <v>147</v>
      </c>
      <c r="F165" s="13" t="s">
        <v>232</v>
      </c>
      <c r="G165" s="55" t="s">
        <v>23</v>
      </c>
      <c r="H165" s="15"/>
      <c r="I165" s="15"/>
      <c r="J165" s="15">
        <f t="shared" si="3"/>
        <v>0</v>
      </c>
    </row>
    <row r="166" spans="1:10">
      <c r="A166" s="76"/>
      <c r="B166" s="83"/>
      <c r="C166" s="85"/>
      <c r="D166" s="55" t="s">
        <v>20</v>
      </c>
      <c r="E166" s="13" t="s">
        <v>147</v>
      </c>
      <c r="F166" s="13" t="s">
        <v>233</v>
      </c>
      <c r="G166" s="55" t="s">
        <v>23</v>
      </c>
      <c r="H166" s="15"/>
      <c r="I166" s="15"/>
      <c r="J166" s="15">
        <f t="shared" si="3"/>
        <v>0</v>
      </c>
    </row>
    <row r="167" spans="1:10">
      <c r="A167" s="76"/>
      <c r="B167" s="83"/>
      <c r="C167" s="85"/>
      <c r="D167" s="55" t="s">
        <v>20</v>
      </c>
      <c r="E167" s="13" t="s">
        <v>147</v>
      </c>
      <c r="F167" s="13" t="s">
        <v>234</v>
      </c>
      <c r="G167" s="55" t="s">
        <v>23</v>
      </c>
      <c r="H167" s="15"/>
      <c r="I167" s="15"/>
      <c r="J167" s="15">
        <f t="shared" si="3"/>
        <v>0</v>
      </c>
    </row>
    <row r="168" spans="1:10">
      <c r="A168" s="76"/>
      <c r="B168" s="83"/>
      <c r="C168" s="85"/>
      <c r="D168" s="55" t="s">
        <v>20</v>
      </c>
      <c r="E168" s="13" t="s">
        <v>147</v>
      </c>
      <c r="F168" s="13" t="s">
        <v>235</v>
      </c>
      <c r="G168" s="55" t="s">
        <v>23</v>
      </c>
      <c r="H168" s="15"/>
      <c r="I168" s="15"/>
      <c r="J168" s="15">
        <f t="shared" si="3"/>
        <v>0</v>
      </c>
    </row>
    <row r="169" spans="1:10">
      <c r="A169" s="76"/>
      <c r="B169" s="83"/>
      <c r="C169" s="85"/>
      <c r="D169" s="55" t="s">
        <v>20</v>
      </c>
      <c r="E169" s="13" t="s">
        <v>147</v>
      </c>
      <c r="F169" s="13" t="s">
        <v>236</v>
      </c>
      <c r="G169" s="55" t="s">
        <v>23</v>
      </c>
      <c r="H169" s="15"/>
      <c r="I169" s="15"/>
      <c r="J169" s="15">
        <f t="shared" si="3"/>
        <v>0</v>
      </c>
    </row>
    <row r="170" spans="1:10">
      <c r="A170" s="76"/>
      <c r="B170" s="83"/>
      <c r="C170" s="85"/>
      <c r="D170" s="55" t="s">
        <v>20</v>
      </c>
      <c r="E170" s="13" t="s">
        <v>147</v>
      </c>
      <c r="F170" s="13" t="s">
        <v>237</v>
      </c>
      <c r="G170" s="55" t="s">
        <v>42</v>
      </c>
      <c r="H170" s="15"/>
      <c r="I170" s="15"/>
      <c r="J170" s="15">
        <f t="shared" si="3"/>
        <v>0</v>
      </c>
    </row>
    <row r="171" spans="1:10">
      <c r="A171" s="76"/>
      <c r="B171" s="83"/>
      <c r="C171" s="85"/>
      <c r="D171" s="55" t="s">
        <v>20</v>
      </c>
      <c r="E171" s="13" t="s">
        <v>147</v>
      </c>
      <c r="F171" s="13" t="s">
        <v>238</v>
      </c>
      <c r="G171" s="55" t="s">
        <v>42</v>
      </c>
      <c r="H171" s="15"/>
      <c r="I171" s="15"/>
      <c r="J171" s="15">
        <f t="shared" si="3"/>
        <v>0</v>
      </c>
    </row>
    <row r="172" spans="1:10">
      <c r="A172" s="76"/>
      <c r="B172" s="83"/>
      <c r="C172" s="85"/>
      <c r="D172" s="55" t="s">
        <v>20</v>
      </c>
      <c r="E172" s="13" t="s">
        <v>147</v>
      </c>
      <c r="F172" s="13" t="s">
        <v>239</v>
      </c>
      <c r="G172" s="55" t="s">
        <v>42</v>
      </c>
      <c r="H172" s="15"/>
      <c r="I172" s="15"/>
      <c r="J172" s="15">
        <f t="shared" si="3"/>
        <v>0</v>
      </c>
    </row>
    <row r="173" spans="1:10">
      <c r="A173" s="76"/>
      <c r="B173" s="83"/>
      <c r="C173" s="85"/>
      <c r="D173" s="55" t="s">
        <v>20</v>
      </c>
      <c r="E173" s="13" t="s">
        <v>147</v>
      </c>
      <c r="F173" s="13" t="s">
        <v>240</v>
      </c>
      <c r="G173" s="55" t="s">
        <v>23</v>
      </c>
      <c r="H173" s="15"/>
      <c r="I173" s="15"/>
      <c r="J173" s="15">
        <f t="shared" si="3"/>
        <v>0</v>
      </c>
    </row>
    <row r="174" spans="1:10">
      <c r="A174" s="76"/>
      <c r="B174" s="83"/>
      <c r="C174" s="85"/>
      <c r="D174" s="55" t="s">
        <v>20</v>
      </c>
      <c r="E174" s="13" t="s">
        <v>147</v>
      </c>
      <c r="F174" s="13" t="s">
        <v>241</v>
      </c>
      <c r="G174" s="55" t="s">
        <v>23</v>
      </c>
      <c r="H174" s="15"/>
      <c r="I174" s="15"/>
      <c r="J174" s="15">
        <f t="shared" si="3"/>
        <v>0</v>
      </c>
    </row>
    <row r="175" spans="1:10">
      <c r="A175" s="76"/>
      <c r="B175" s="83"/>
      <c r="C175" s="85"/>
      <c r="D175" s="55" t="s">
        <v>20</v>
      </c>
      <c r="E175" s="13" t="s">
        <v>147</v>
      </c>
      <c r="F175" s="13" t="s">
        <v>242</v>
      </c>
      <c r="G175" s="55" t="s">
        <v>23</v>
      </c>
      <c r="H175" s="15"/>
      <c r="I175" s="15"/>
      <c r="J175" s="15">
        <f t="shared" si="3"/>
        <v>0</v>
      </c>
    </row>
    <row r="176" spans="1:10">
      <c r="A176" s="76"/>
      <c r="B176" s="83"/>
      <c r="C176" s="85"/>
      <c r="D176" s="55" t="s">
        <v>20</v>
      </c>
      <c r="E176" s="13" t="s">
        <v>147</v>
      </c>
      <c r="F176" s="13" t="s">
        <v>243</v>
      </c>
      <c r="G176" s="55" t="s">
        <v>23</v>
      </c>
      <c r="H176" s="15"/>
      <c r="I176" s="15"/>
      <c r="J176" s="15">
        <f t="shared" si="3"/>
        <v>0</v>
      </c>
    </row>
    <row r="177" spans="1:10">
      <c r="A177" s="76"/>
      <c r="B177" s="83"/>
      <c r="C177" s="85"/>
      <c r="D177" s="55" t="s">
        <v>20</v>
      </c>
      <c r="E177" s="13" t="s">
        <v>147</v>
      </c>
      <c r="F177" s="13" t="s">
        <v>244</v>
      </c>
      <c r="G177" s="55" t="s">
        <v>23</v>
      </c>
      <c r="H177" s="15"/>
      <c r="I177" s="15"/>
      <c r="J177" s="15">
        <f t="shared" si="3"/>
        <v>0</v>
      </c>
    </row>
    <row r="178" spans="1:10">
      <c r="A178" s="76"/>
      <c r="B178" s="83"/>
      <c r="C178" s="85"/>
      <c r="D178" s="55" t="s">
        <v>20</v>
      </c>
      <c r="E178" s="13" t="s">
        <v>147</v>
      </c>
      <c r="F178" s="13" t="s">
        <v>245</v>
      </c>
      <c r="G178" s="55" t="s">
        <v>23</v>
      </c>
      <c r="H178" s="15"/>
      <c r="I178" s="15"/>
      <c r="J178" s="15">
        <f t="shared" si="3"/>
        <v>0</v>
      </c>
    </row>
    <row r="179" spans="1:10">
      <c r="A179" s="76"/>
      <c r="B179" s="83"/>
      <c r="C179" s="85"/>
      <c r="D179" s="55" t="s">
        <v>20</v>
      </c>
      <c r="E179" s="13" t="s">
        <v>147</v>
      </c>
      <c r="F179" s="13" t="s">
        <v>246</v>
      </c>
      <c r="G179" s="55" t="s">
        <v>100</v>
      </c>
      <c r="H179" s="15"/>
      <c r="I179" s="15"/>
      <c r="J179" s="15">
        <f t="shared" si="3"/>
        <v>0</v>
      </c>
    </row>
    <row r="180" spans="1:10">
      <c r="A180" s="76"/>
      <c r="B180" s="83"/>
      <c r="C180" s="85"/>
      <c r="D180" s="55" t="s">
        <v>20</v>
      </c>
      <c r="E180" s="13" t="s">
        <v>147</v>
      </c>
      <c r="F180" s="13" t="s">
        <v>247</v>
      </c>
      <c r="G180" s="55" t="s">
        <v>100</v>
      </c>
      <c r="H180" s="15"/>
      <c r="I180" s="15"/>
      <c r="J180" s="15">
        <f t="shared" ref="J180:J243" si="4">+ROUND(PRODUCT(H180*I180),0)</f>
        <v>0</v>
      </c>
    </row>
    <row r="181" spans="1:10">
      <c r="A181" s="76"/>
      <c r="B181" s="83"/>
      <c r="C181" s="85"/>
      <c r="D181" s="55" t="s">
        <v>20</v>
      </c>
      <c r="E181" s="13" t="s">
        <v>147</v>
      </c>
      <c r="F181" s="13" t="s">
        <v>248</v>
      </c>
      <c r="G181" s="55" t="s">
        <v>42</v>
      </c>
      <c r="H181" s="15"/>
      <c r="I181" s="15"/>
      <c r="J181" s="15">
        <f t="shared" si="4"/>
        <v>0</v>
      </c>
    </row>
    <row r="182" spans="1:10">
      <c r="A182" s="76"/>
      <c r="B182" s="83"/>
      <c r="C182" s="85"/>
      <c r="D182" s="55" t="s">
        <v>20</v>
      </c>
      <c r="E182" s="13" t="s">
        <v>147</v>
      </c>
      <c r="F182" s="13" t="s">
        <v>249</v>
      </c>
      <c r="G182" s="55" t="s">
        <v>23</v>
      </c>
      <c r="H182" s="15"/>
      <c r="I182" s="15"/>
      <c r="J182" s="15">
        <f t="shared" si="4"/>
        <v>0</v>
      </c>
    </row>
    <row r="183" spans="1:10">
      <c r="A183" s="76"/>
      <c r="B183" s="83"/>
      <c r="C183" s="85"/>
      <c r="D183" s="55" t="s">
        <v>20</v>
      </c>
      <c r="E183" s="13" t="s">
        <v>147</v>
      </c>
      <c r="F183" s="13" t="s">
        <v>250</v>
      </c>
      <c r="G183" s="55" t="s">
        <v>23</v>
      </c>
      <c r="H183" s="15"/>
      <c r="I183" s="15"/>
      <c r="J183" s="15">
        <f t="shared" si="4"/>
        <v>0</v>
      </c>
    </row>
    <row r="184" spans="1:10">
      <c r="A184" s="76"/>
      <c r="B184" s="83"/>
      <c r="C184" s="85"/>
      <c r="D184" s="55" t="s">
        <v>20</v>
      </c>
      <c r="E184" s="13" t="s">
        <v>147</v>
      </c>
      <c r="F184" s="13" t="s">
        <v>251</v>
      </c>
      <c r="G184" s="55" t="s">
        <v>23</v>
      </c>
      <c r="H184" s="15"/>
      <c r="I184" s="15"/>
      <c r="J184" s="15">
        <f t="shared" si="4"/>
        <v>0</v>
      </c>
    </row>
    <row r="185" spans="1:10">
      <c r="A185" s="76"/>
      <c r="B185" s="83"/>
      <c r="C185" s="85"/>
      <c r="D185" s="55" t="s">
        <v>20</v>
      </c>
      <c r="E185" s="13" t="s">
        <v>147</v>
      </c>
      <c r="F185" s="13" t="s">
        <v>252</v>
      </c>
      <c r="G185" s="55" t="s">
        <v>23</v>
      </c>
      <c r="H185" s="15"/>
      <c r="I185" s="15"/>
      <c r="J185" s="15">
        <f t="shared" si="4"/>
        <v>0</v>
      </c>
    </row>
    <row r="186" spans="1:10">
      <c r="A186" s="76"/>
      <c r="B186" s="83"/>
      <c r="C186" s="85"/>
      <c r="D186" s="55" t="s">
        <v>20</v>
      </c>
      <c r="E186" s="13" t="s">
        <v>147</v>
      </c>
      <c r="F186" s="13" t="s">
        <v>253</v>
      </c>
      <c r="G186" s="55" t="s">
        <v>23</v>
      </c>
      <c r="H186" s="15"/>
      <c r="I186" s="15"/>
      <c r="J186" s="15">
        <f t="shared" si="4"/>
        <v>0</v>
      </c>
    </row>
    <row r="187" spans="1:10">
      <c r="A187" s="76"/>
      <c r="B187" s="83"/>
      <c r="C187" s="85"/>
      <c r="D187" s="55" t="s">
        <v>20</v>
      </c>
      <c r="E187" s="13" t="s">
        <v>147</v>
      </c>
      <c r="F187" s="13" t="s">
        <v>254</v>
      </c>
      <c r="G187" s="55" t="s">
        <v>23</v>
      </c>
      <c r="H187" s="15"/>
      <c r="I187" s="15"/>
      <c r="J187" s="15">
        <f t="shared" si="4"/>
        <v>0</v>
      </c>
    </row>
    <row r="188" spans="1:10">
      <c r="A188" s="76"/>
      <c r="B188" s="83"/>
      <c r="C188" s="85"/>
      <c r="D188" s="55" t="s">
        <v>20</v>
      </c>
      <c r="E188" s="13" t="s">
        <v>147</v>
      </c>
      <c r="F188" s="13" t="s">
        <v>255</v>
      </c>
      <c r="G188" s="55" t="s">
        <v>23</v>
      </c>
      <c r="H188" s="15"/>
      <c r="I188" s="15"/>
      <c r="J188" s="15">
        <f t="shared" si="4"/>
        <v>0</v>
      </c>
    </row>
    <row r="189" spans="1:10">
      <c r="A189" s="76"/>
      <c r="B189" s="83"/>
      <c r="C189" s="85"/>
      <c r="D189" s="55" t="s">
        <v>20</v>
      </c>
      <c r="E189" s="13" t="s">
        <v>147</v>
      </c>
      <c r="F189" s="13" t="s">
        <v>256</v>
      </c>
      <c r="G189" s="55" t="s">
        <v>23</v>
      </c>
      <c r="H189" s="15"/>
      <c r="I189" s="15"/>
      <c r="J189" s="15">
        <f t="shared" si="4"/>
        <v>0</v>
      </c>
    </row>
    <row r="190" spans="1:10">
      <c r="A190" s="76"/>
      <c r="B190" s="83"/>
      <c r="C190" s="85"/>
      <c r="D190" s="55" t="s">
        <v>20</v>
      </c>
      <c r="E190" s="13" t="s">
        <v>147</v>
      </c>
      <c r="F190" s="13" t="s">
        <v>257</v>
      </c>
      <c r="G190" s="55" t="s">
        <v>23</v>
      </c>
      <c r="H190" s="15"/>
      <c r="I190" s="15"/>
      <c r="J190" s="15">
        <f t="shared" si="4"/>
        <v>0</v>
      </c>
    </row>
    <row r="191" spans="1:10">
      <c r="A191" s="76"/>
      <c r="B191" s="83"/>
      <c r="C191" s="85"/>
      <c r="D191" s="55" t="s">
        <v>20</v>
      </c>
      <c r="E191" s="13" t="s">
        <v>147</v>
      </c>
      <c r="F191" s="13" t="s">
        <v>258</v>
      </c>
      <c r="G191" s="55" t="s">
        <v>23</v>
      </c>
      <c r="H191" s="15"/>
      <c r="I191" s="15"/>
      <c r="J191" s="15">
        <f t="shared" si="4"/>
        <v>0</v>
      </c>
    </row>
    <row r="192" spans="1:10">
      <c r="A192" s="76"/>
      <c r="B192" s="83"/>
      <c r="C192" s="85"/>
      <c r="D192" s="55" t="s">
        <v>20</v>
      </c>
      <c r="E192" s="13" t="s">
        <v>147</v>
      </c>
      <c r="F192" s="13" t="s">
        <v>259</v>
      </c>
      <c r="G192" s="55" t="s">
        <v>23</v>
      </c>
      <c r="H192" s="15"/>
      <c r="I192" s="15"/>
      <c r="J192" s="15">
        <f t="shared" si="4"/>
        <v>0</v>
      </c>
    </row>
    <row r="193" spans="1:10">
      <c r="A193" s="76"/>
      <c r="B193" s="83"/>
      <c r="C193" s="85"/>
      <c r="D193" s="55" t="s">
        <v>20</v>
      </c>
      <c r="E193" s="13" t="s">
        <v>147</v>
      </c>
      <c r="F193" s="13" t="s">
        <v>260</v>
      </c>
      <c r="G193" s="55" t="s">
        <v>23</v>
      </c>
      <c r="H193" s="15"/>
      <c r="I193" s="15"/>
      <c r="J193" s="15">
        <f t="shared" si="4"/>
        <v>0</v>
      </c>
    </row>
    <row r="194" spans="1:10">
      <c r="A194" s="76"/>
      <c r="B194" s="83"/>
      <c r="C194" s="85"/>
      <c r="D194" s="55" t="s">
        <v>20</v>
      </c>
      <c r="E194" s="13" t="s">
        <v>147</v>
      </c>
      <c r="F194" s="13" t="s">
        <v>261</v>
      </c>
      <c r="G194" s="55" t="s">
        <v>23</v>
      </c>
      <c r="H194" s="15"/>
      <c r="I194" s="15"/>
      <c r="J194" s="15">
        <f t="shared" si="4"/>
        <v>0</v>
      </c>
    </row>
    <row r="195" spans="1:10">
      <c r="A195" s="76"/>
      <c r="B195" s="83"/>
      <c r="C195" s="85"/>
      <c r="D195" s="55" t="s">
        <v>20</v>
      </c>
      <c r="E195" s="13" t="s">
        <v>147</v>
      </c>
      <c r="F195" s="13" t="s">
        <v>262</v>
      </c>
      <c r="G195" s="55" t="s">
        <v>23</v>
      </c>
      <c r="H195" s="15"/>
      <c r="I195" s="15"/>
      <c r="J195" s="15">
        <f t="shared" si="4"/>
        <v>0</v>
      </c>
    </row>
    <row r="196" spans="1:10">
      <c r="A196" s="76"/>
      <c r="B196" s="83"/>
      <c r="C196" s="85"/>
      <c r="D196" s="55" t="s">
        <v>20</v>
      </c>
      <c r="E196" s="13" t="s">
        <v>147</v>
      </c>
      <c r="F196" s="13" t="s">
        <v>263</v>
      </c>
      <c r="G196" s="55" t="s">
        <v>23</v>
      </c>
      <c r="H196" s="15"/>
      <c r="I196" s="15"/>
      <c r="J196" s="15">
        <f t="shared" si="4"/>
        <v>0</v>
      </c>
    </row>
    <row r="197" spans="1:10">
      <c r="A197" s="76"/>
      <c r="B197" s="83"/>
      <c r="C197" s="85"/>
      <c r="D197" s="55" t="s">
        <v>20</v>
      </c>
      <c r="E197" s="13" t="s">
        <v>147</v>
      </c>
      <c r="F197" s="13" t="s">
        <v>264</v>
      </c>
      <c r="G197" s="55" t="s">
        <v>23</v>
      </c>
      <c r="H197" s="15"/>
      <c r="I197" s="15"/>
      <c r="J197" s="15">
        <f t="shared" si="4"/>
        <v>0</v>
      </c>
    </row>
    <row r="198" spans="1:10">
      <c r="A198" s="76"/>
      <c r="B198" s="83"/>
      <c r="C198" s="85"/>
      <c r="D198" s="55" t="s">
        <v>20</v>
      </c>
      <c r="E198" s="13" t="s">
        <v>265</v>
      </c>
      <c r="F198" s="13" t="s">
        <v>266</v>
      </c>
      <c r="G198" s="55" t="s">
        <v>23</v>
      </c>
      <c r="H198" s="15"/>
      <c r="I198" s="15"/>
      <c r="J198" s="15">
        <f t="shared" si="4"/>
        <v>0</v>
      </c>
    </row>
    <row r="199" spans="1:10">
      <c r="A199" s="76"/>
      <c r="B199" s="83"/>
      <c r="C199" s="85"/>
      <c r="D199" s="55" t="s">
        <v>20</v>
      </c>
      <c r="E199" s="13" t="s">
        <v>265</v>
      </c>
      <c r="F199" s="13" t="s">
        <v>267</v>
      </c>
      <c r="G199" s="55" t="s">
        <v>23</v>
      </c>
      <c r="H199" s="15"/>
      <c r="I199" s="15"/>
      <c r="J199" s="15">
        <f t="shared" si="4"/>
        <v>0</v>
      </c>
    </row>
    <row r="200" spans="1:10">
      <c r="A200" s="76"/>
      <c r="B200" s="83"/>
      <c r="C200" s="85"/>
      <c r="D200" s="55" t="s">
        <v>20</v>
      </c>
      <c r="E200" s="13" t="s">
        <v>268</v>
      </c>
      <c r="F200" s="13" t="s">
        <v>269</v>
      </c>
      <c r="G200" s="55" t="s">
        <v>270</v>
      </c>
      <c r="H200" s="15"/>
      <c r="I200" s="15"/>
      <c r="J200" s="15">
        <f t="shared" si="4"/>
        <v>0</v>
      </c>
    </row>
    <row r="201" spans="1:10">
      <c r="A201" s="76"/>
      <c r="B201" s="83"/>
      <c r="C201" s="86"/>
      <c r="D201" s="55" t="s">
        <v>20</v>
      </c>
      <c r="E201" s="13" t="s">
        <v>271</v>
      </c>
      <c r="F201" s="13" t="s">
        <v>272</v>
      </c>
      <c r="G201" s="55" t="s">
        <v>23</v>
      </c>
      <c r="H201" s="15"/>
      <c r="I201" s="15"/>
      <c r="J201" s="15">
        <f t="shared" si="4"/>
        <v>0</v>
      </c>
    </row>
    <row r="202" spans="1:10">
      <c r="A202" s="76"/>
      <c r="B202" s="83"/>
      <c r="C202" s="65" t="s">
        <v>274</v>
      </c>
      <c r="D202" s="55" t="s">
        <v>20</v>
      </c>
      <c r="E202" s="13" t="s">
        <v>61</v>
      </c>
      <c r="F202" s="13" t="s">
        <v>275</v>
      </c>
      <c r="G202" s="55" t="s">
        <v>23</v>
      </c>
      <c r="H202" s="15"/>
      <c r="I202" s="15"/>
      <c r="J202" s="15">
        <f t="shared" si="4"/>
        <v>0</v>
      </c>
    </row>
    <row r="203" spans="1:10">
      <c r="A203" s="76"/>
      <c r="B203" s="83"/>
      <c r="C203" s="67"/>
      <c r="D203" s="55" t="s">
        <v>20</v>
      </c>
      <c r="E203" s="13" t="s">
        <v>276</v>
      </c>
      <c r="F203" s="13" t="s">
        <v>277</v>
      </c>
      <c r="G203" s="55" t="s">
        <v>23</v>
      </c>
      <c r="H203" s="15"/>
      <c r="I203" s="15"/>
      <c r="J203" s="15">
        <f t="shared" si="4"/>
        <v>0</v>
      </c>
    </row>
    <row r="204" spans="1:10">
      <c r="A204" s="76"/>
      <c r="B204" s="83"/>
      <c r="C204" s="67"/>
      <c r="D204" s="55" t="s">
        <v>20</v>
      </c>
      <c r="E204" s="13" t="s">
        <v>276</v>
      </c>
      <c r="F204" s="13" t="s">
        <v>278</v>
      </c>
      <c r="G204" s="55" t="s">
        <v>23</v>
      </c>
      <c r="H204" s="15"/>
      <c r="I204" s="15"/>
      <c r="J204" s="15">
        <f t="shared" si="4"/>
        <v>0</v>
      </c>
    </row>
    <row r="205" spans="1:10">
      <c r="A205" s="76"/>
      <c r="B205" s="83"/>
      <c r="C205" s="67"/>
      <c r="D205" s="55" t="s">
        <v>20</v>
      </c>
      <c r="E205" s="13" t="s">
        <v>276</v>
      </c>
      <c r="F205" s="13" t="s">
        <v>279</v>
      </c>
      <c r="G205" s="55" t="s">
        <v>23</v>
      </c>
      <c r="H205" s="15"/>
      <c r="I205" s="15"/>
      <c r="J205" s="15">
        <f t="shared" si="4"/>
        <v>0</v>
      </c>
    </row>
    <row r="206" spans="1:10">
      <c r="A206" s="76"/>
      <c r="B206" s="83"/>
      <c r="C206" s="67"/>
      <c r="D206" s="55" t="s">
        <v>20</v>
      </c>
      <c r="E206" s="13" t="s">
        <v>276</v>
      </c>
      <c r="F206" s="13" t="s">
        <v>280</v>
      </c>
      <c r="G206" s="55" t="s">
        <v>23</v>
      </c>
      <c r="H206" s="15"/>
      <c r="I206" s="15"/>
      <c r="J206" s="15">
        <f t="shared" si="4"/>
        <v>0</v>
      </c>
    </row>
    <row r="207" spans="1:10">
      <c r="A207" s="76"/>
      <c r="B207" s="83"/>
      <c r="C207" s="67"/>
      <c r="D207" s="55" t="s">
        <v>20</v>
      </c>
      <c r="E207" s="13" t="s">
        <v>276</v>
      </c>
      <c r="F207" s="13" t="s">
        <v>281</v>
      </c>
      <c r="G207" s="55" t="s">
        <v>23</v>
      </c>
      <c r="H207" s="15"/>
      <c r="I207" s="15"/>
      <c r="J207" s="15">
        <f t="shared" si="4"/>
        <v>0</v>
      </c>
    </row>
    <row r="208" spans="1:10">
      <c r="A208" s="76"/>
      <c r="B208" s="83"/>
      <c r="C208" s="67"/>
      <c r="D208" s="55" t="s">
        <v>20</v>
      </c>
      <c r="E208" s="13" t="s">
        <v>276</v>
      </c>
      <c r="F208" s="13" t="s">
        <v>282</v>
      </c>
      <c r="G208" s="55" t="s">
        <v>23</v>
      </c>
      <c r="H208" s="15"/>
      <c r="I208" s="15"/>
      <c r="J208" s="15">
        <f t="shared" si="4"/>
        <v>0</v>
      </c>
    </row>
    <row r="209" spans="1:10">
      <c r="A209" s="76"/>
      <c r="B209" s="83"/>
      <c r="C209" s="67"/>
      <c r="D209" s="55" t="s">
        <v>20</v>
      </c>
      <c r="E209" s="13" t="s">
        <v>276</v>
      </c>
      <c r="F209" s="13" t="s">
        <v>283</v>
      </c>
      <c r="G209" s="55" t="s">
        <v>23</v>
      </c>
      <c r="H209" s="15"/>
      <c r="I209" s="15"/>
      <c r="J209" s="15">
        <f t="shared" si="4"/>
        <v>0</v>
      </c>
    </row>
    <row r="210" spans="1:10">
      <c r="A210" s="76"/>
      <c r="B210" s="83"/>
      <c r="C210" s="67"/>
      <c r="D210" s="55" t="s">
        <v>20</v>
      </c>
      <c r="E210" s="13" t="s">
        <v>276</v>
      </c>
      <c r="F210" s="13" t="s">
        <v>284</v>
      </c>
      <c r="G210" s="55" t="s">
        <v>23</v>
      </c>
      <c r="H210" s="15"/>
      <c r="I210" s="15"/>
      <c r="J210" s="15">
        <f t="shared" si="4"/>
        <v>0</v>
      </c>
    </row>
    <row r="211" spans="1:10">
      <c r="A211" s="76"/>
      <c r="B211" s="83"/>
      <c r="C211" s="67"/>
      <c r="D211" s="55" t="s">
        <v>20</v>
      </c>
      <c r="E211" s="13" t="s">
        <v>276</v>
      </c>
      <c r="F211" s="13" t="s">
        <v>285</v>
      </c>
      <c r="G211" s="55" t="s">
        <v>23</v>
      </c>
      <c r="H211" s="15"/>
      <c r="I211" s="15"/>
      <c r="J211" s="15">
        <f t="shared" si="4"/>
        <v>0</v>
      </c>
    </row>
    <row r="212" spans="1:10">
      <c r="A212" s="76"/>
      <c r="B212" s="83"/>
      <c r="C212" s="67"/>
      <c r="D212" s="55" t="s">
        <v>20</v>
      </c>
      <c r="E212" s="13" t="s">
        <v>276</v>
      </c>
      <c r="F212" s="13" t="s">
        <v>286</v>
      </c>
      <c r="G212" s="55" t="s">
        <v>23</v>
      </c>
      <c r="H212" s="15"/>
      <c r="I212" s="15"/>
      <c r="J212" s="15">
        <f t="shared" si="4"/>
        <v>0</v>
      </c>
    </row>
    <row r="213" spans="1:10">
      <c r="A213" s="76"/>
      <c r="B213" s="83"/>
      <c r="C213" s="67"/>
      <c r="D213" s="55" t="s">
        <v>20</v>
      </c>
      <c r="E213" s="13" t="s">
        <v>276</v>
      </c>
      <c r="F213" s="13" t="s">
        <v>287</v>
      </c>
      <c r="G213" s="55" t="s">
        <v>23</v>
      </c>
      <c r="H213" s="15"/>
      <c r="I213" s="15"/>
      <c r="J213" s="15">
        <f t="shared" si="4"/>
        <v>0</v>
      </c>
    </row>
    <row r="214" spans="1:10">
      <c r="A214" s="76"/>
      <c r="B214" s="83"/>
      <c r="C214" s="67"/>
      <c r="D214" s="55" t="s">
        <v>20</v>
      </c>
      <c r="E214" s="13" t="s">
        <v>276</v>
      </c>
      <c r="F214" s="13" t="s">
        <v>288</v>
      </c>
      <c r="G214" s="55" t="s">
        <v>42</v>
      </c>
      <c r="H214" s="15"/>
      <c r="I214" s="15"/>
      <c r="J214" s="15">
        <f t="shared" si="4"/>
        <v>0</v>
      </c>
    </row>
    <row r="215" spans="1:10">
      <c r="A215" s="76"/>
      <c r="B215" s="83"/>
      <c r="C215" s="67"/>
      <c r="D215" s="55" t="s">
        <v>20</v>
      </c>
      <c r="E215" s="13" t="s">
        <v>276</v>
      </c>
      <c r="F215" s="13" t="s">
        <v>289</v>
      </c>
      <c r="G215" s="55" t="s">
        <v>42</v>
      </c>
      <c r="H215" s="15"/>
      <c r="I215" s="15"/>
      <c r="J215" s="15">
        <f t="shared" si="4"/>
        <v>0</v>
      </c>
    </row>
    <row r="216" spans="1:10">
      <c r="A216" s="76"/>
      <c r="B216" s="83"/>
      <c r="C216" s="67"/>
      <c r="D216" s="55" t="s">
        <v>20</v>
      </c>
      <c r="E216" s="13" t="s">
        <v>276</v>
      </c>
      <c r="F216" s="13" t="s">
        <v>290</v>
      </c>
      <c r="G216" s="55" t="s">
        <v>42</v>
      </c>
      <c r="H216" s="15"/>
      <c r="I216" s="15"/>
      <c r="J216" s="15">
        <f t="shared" si="4"/>
        <v>0</v>
      </c>
    </row>
    <row r="217" spans="1:10">
      <c r="A217" s="76"/>
      <c r="B217" s="83"/>
      <c r="C217" s="67"/>
      <c r="D217" s="55" t="s">
        <v>20</v>
      </c>
      <c r="E217" s="13" t="s">
        <v>276</v>
      </c>
      <c r="F217" s="13" t="s">
        <v>291</v>
      </c>
      <c r="G217" s="55" t="s">
        <v>23</v>
      </c>
      <c r="H217" s="15"/>
      <c r="I217" s="15"/>
      <c r="J217" s="15">
        <f t="shared" si="4"/>
        <v>0</v>
      </c>
    </row>
    <row r="218" spans="1:10">
      <c r="A218" s="76"/>
      <c r="B218" s="83"/>
      <c r="C218" s="67"/>
      <c r="D218" s="55" t="s">
        <v>20</v>
      </c>
      <c r="E218" s="13" t="s">
        <v>276</v>
      </c>
      <c r="F218" s="13" t="s">
        <v>292</v>
      </c>
      <c r="G218" s="55" t="s">
        <v>23</v>
      </c>
      <c r="H218" s="15"/>
      <c r="I218" s="15"/>
      <c r="J218" s="15">
        <f t="shared" si="4"/>
        <v>0</v>
      </c>
    </row>
    <row r="219" spans="1:10">
      <c r="A219" s="76"/>
      <c r="B219" s="83"/>
      <c r="C219" s="67"/>
      <c r="D219" s="55" t="s">
        <v>20</v>
      </c>
      <c r="E219" s="13" t="s">
        <v>276</v>
      </c>
      <c r="F219" s="13" t="s">
        <v>293</v>
      </c>
      <c r="G219" s="55" t="s">
        <v>23</v>
      </c>
      <c r="H219" s="15"/>
      <c r="I219" s="15"/>
      <c r="J219" s="15">
        <f t="shared" si="4"/>
        <v>0</v>
      </c>
    </row>
    <row r="220" spans="1:10">
      <c r="A220" s="76"/>
      <c r="B220" s="83"/>
      <c r="C220" s="67"/>
      <c r="D220" s="55" t="s">
        <v>20</v>
      </c>
      <c r="E220" s="13" t="s">
        <v>276</v>
      </c>
      <c r="F220" s="13" t="s">
        <v>294</v>
      </c>
      <c r="G220" s="55" t="s">
        <v>23</v>
      </c>
      <c r="H220" s="15"/>
      <c r="I220" s="15"/>
      <c r="J220" s="15">
        <f t="shared" si="4"/>
        <v>0</v>
      </c>
    </row>
    <row r="221" spans="1:10">
      <c r="A221" s="76"/>
      <c r="B221" s="83"/>
      <c r="C221" s="67"/>
      <c r="D221" s="55" t="s">
        <v>20</v>
      </c>
      <c r="E221" s="13" t="s">
        <v>276</v>
      </c>
      <c r="F221" s="13" t="s">
        <v>295</v>
      </c>
      <c r="G221" s="55" t="s">
        <v>23</v>
      </c>
      <c r="H221" s="15"/>
      <c r="I221" s="15"/>
      <c r="J221" s="15">
        <f t="shared" si="4"/>
        <v>0</v>
      </c>
    </row>
    <row r="222" spans="1:10">
      <c r="A222" s="76"/>
      <c r="B222" s="83"/>
      <c r="C222" s="67"/>
      <c r="D222" s="55" t="s">
        <v>20</v>
      </c>
      <c r="E222" s="13" t="s">
        <v>276</v>
      </c>
      <c r="F222" s="13" t="s">
        <v>296</v>
      </c>
      <c r="G222" s="55" t="s">
        <v>23</v>
      </c>
      <c r="H222" s="15"/>
      <c r="I222" s="15"/>
      <c r="J222" s="15">
        <f t="shared" si="4"/>
        <v>0</v>
      </c>
    </row>
    <row r="223" spans="1:10">
      <c r="A223" s="76"/>
      <c r="B223" s="83"/>
      <c r="C223" s="67"/>
      <c r="D223" s="55" t="s">
        <v>20</v>
      </c>
      <c r="E223" s="13" t="s">
        <v>276</v>
      </c>
      <c r="F223" s="13" t="s">
        <v>297</v>
      </c>
      <c r="G223" s="55" t="s">
        <v>23</v>
      </c>
      <c r="H223" s="15"/>
      <c r="I223" s="15"/>
      <c r="J223" s="15">
        <f t="shared" si="4"/>
        <v>0</v>
      </c>
    </row>
    <row r="224" spans="1:10">
      <c r="A224" s="76"/>
      <c r="B224" s="83"/>
      <c r="C224" s="67"/>
      <c r="D224" s="55" t="s">
        <v>20</v>
      </c>
      <c r="E224" s="13" t="s">
        <v>276</v>
      </c>
      <c r="F224" s="13" t="s">
        <v>298</v>
      </c>
      <c r="G224" s="55" t="s">
        <v>23</v>
      </c>
      <c r="H224" s="15"/>
      <c r="I224" s="15"/>
      <c r="J224" s="15">
        <f t="shared" si="4"/>
        <v>0</v>
      </c>
    </row>
    <row r="225" spans="1:10">
      <c r="A225" s="76"/>
      <c r="B225" s="83"/>
      <c r="C225" s="67"/>
      <c r="D225" s="55" t="s">
        <v>20</v>
      </c>
      <c r="E225" s="13" t="s">
        <v>276</v>
      </c>
      <c r="F225" s="13" t="s">
        <v>299</v>
      </c>
      <c r="G225" s="55" t="s">
        <v>23</v>
      </c>
      <c r="H225" s="15"/>
      <c r="I225" s="15"/>
      <c r="J225" s="15">
        <f t="shared" si="4"/>
        <v>0</v>
      </c>
    </row>
    <row r="226" spans="1:10">
      <c r="A226" s="76"/>
      <c r="B226" s="83"/>
      <c r="C226" s="67"/>
      <c r="D226" s="55" t="s">
        <v>20</v>
      </c>
      <c r="E226" s="13" t="s">
        <v>276</v>
      </c>
      <c r="F226" s="13" t="s">
        <v>300</v>
      </c>
      <c r="G226" s="55" t="s">
        <v>23</v>
      </c>
      <c r="H226" s="15"/>
      <c r="I226" s="15"/>
      <c r="J226" s="15">
        <f t="shared" si="4"/>
        <v>0</v>
      </c>
    </row>
    <row r="227" spans="1:10">
      <c r="A227" s="76"/>
      <c r="B227" s="83"/>
      <c r="C227" s="67"/>
      <c r="D227" s="55" t="s">
        <v>20</v>
      </c>
      <c r="E227" s="13" t="s">
        <v>276</v>
      </c>
      <c r="F227" s="13" t="s">
        <v>301</v>
      </c>
      <c r="G227" s="55" t="s">
        <v>23</v>
      </c>
      <c r="H227" s="15"/>
      <c r="I227" s="15"/>
      <c r="J227" s="15">
        <f t="shared" si="4"/>
        <v>0</v>
      </c>
    </row>
    <row r="228" spans="1:10">
      <c r="A228" s="76"/>
      <c r="B228" s="83"/>
      <c r="C228" s="67"/>
      <c r="D228" s="55" t="s">
        <v>20</v>
      </c>
      <c r="E228" s="13" t="s">
        <v>276</v>
      </c>
      <c r="F228" s="13" t="s">
        <v>302</v>
      </c>
      <c r="G228" s="55" t="s">
        <v>23</v>
      </c>
      <c r="H228" s="15"/>
      <c r="I228" s="15"/>
      <c r="J228" s="15">
        <f t="shared" si="4"/>
        <v>0</v>
      </c>
    </row>
    <row r="229" spans="1:10">
      <c r="A229" s="76"/>
      <c r="B229" s="83"/>
      <c r="C229" s="67"/>
      <c r="D229" s="55" t="s">
        <v>20</v>
      </c>
      <c r="E229" s="13" t="s">
        <v>276</v>
      </c>
      <c r="F229" s="13" t="s">
        <v>303</v>
      </c>
      <c r="G229" s="55" t="s">
        <v>23</v>
      </c>
      <c r="H229" s="15"/>
      <c r="I229" s="15"/>
      <c r="J229" s="15">
        <f t="shared" si="4"/>
        <v>0</v>
      </c>
    </row>
    <row r="230" spans="1:10">
      <c r="A230" s="76"/>
      <c r="B230" s="83"/>
      <c r="C230" s="67"/>
      <c r="D230" s="55" t="s">
        <v>20</v>
      </c>
      <c r="E230" s="13" t="s">
        <v>276</v>
      </c>
      <c r="F230" s="13" t="s">
        <v>304</v>
      </c>
      <c r="G230" s="55" t="s">
        <v>23</v>
      </c>
      <c r="H230" s="15"/>
      <c r="I230" s="15"/>
      <c r="J230" s="15">
        <f t="shared" si="4"/>
        <v>0</v>
      </c>
    </row>
    <row r="231" spans="1:10">
      <c r="A231" s="76"/>
      <c r="B231" s="83"/>
      <c r="C231" s="67"/>
      <c r="D231" s="55" t="s">
        <v>20</v>
      </c>
      <c r="E231" s="13" t="s">
        <v>276</v>
      </c>
      <c r="F231" s="13" t="s">
        <v>305</v>
      </c>
      <c r="G231" s="55" t="s">
        <v>23</v>
      </c>
      <c r="H231" s="15"/>
      <c r="I231" s="15"/>
      <c r="J231" s="15">
        <f t="shared" si="4"/>
        <v>0</v>
      </c>
    </row>
    <row r="232" spans="1:10">
      <c r="A232" s="76"/>
      <c r="B232" s="83"/>
      <c r="C232" s="67"/>
      <c r="D232" s="55" t="s">
        <v>20</v>
      </c>
      <c r="E232" s="13" t="s">
        <v>276</v>
      </c>
      <c r="F232" s="13" t="s">
        <v>306</v>
      </c>
      <c r="G232" s="55" t="s">
        <v>23</v>
      </c>
      <c r="H232" s="15"/>
      <c r="I232" s="15"/>
      <c r="J232" s="15">
        <f t="shared" si="4"/>
        <v>0</v>
      </c>
    </row>
    <row r="233" spans="1:10">
      <c r="A233" s="76"/>
      <c r="B233" s="83"/>
      <c r="C233" s="67"/>
      <c r="D233" s="55" t="s">
        <v>20</v>
      </c>
      <c r="E233" s="13" t="s">
        <v>276</v>
      </c>
      <c r="F233" s="13" t="s">
        <v>307</v>
      </c>
      <c r="G233" s="55" t="s">
        <v>42</v>
      </c>
      <c r="H233" s="15"/>
      <c r="I233" s="15"/>
      <c r="J233" s="15">
        <f t="shared" si="4"/>
        <v>0</v>
      </c>
    </row>
    <row r="234" spans="1:10">
      <c r="A234" s="76"/>
      <c r="B234" s="83"/>
      <c r="C234" s="67"/>
      <c r="D234" s="55" t="s">
        <v>20</v>
      </c>
      <c r="E234" s="13" t="s">
        <v>276</v>
      </c>
      <c r="F234" s="13" t="s">
        <v>308</v>
      </c>
      <c r="G234" s="55" t="s">
        <v>42</v>
      </c>
      <c r="H234" s="15"/>
      <c r="I234" s="15"/>
      <c r="J234" s="15">
        <f t="shared" si="4"/>
        <v>0</v>
      </c>
    </row>
    <row r="235" spans="1:10">
      <c r="A235" s="76"/>
      <c r="B235" s="83"/>
      <c r="C235" s="67"/>
      <c r="D235" s="55" t="s">
        <v>20</v>
      </c>
      <c r="E235" s="13" t="s">
        <v>276</v>
      </c>
      <c r="F235" s="13" t="s">
        <v>309</v>
      </c>
      <c r="G235" s="55" t="s">
        <v>42</v>
      </c>
      <c r="H235" s="15"/>
      <c r="I235" s="15"/>
      <c r="J235" s="15">
        <f t="shared" si="4"/>
        <v>0</v>
      </c>
    </row>
    <row r="236" spans="1:10">
      <c r="A236" s="76"/>
      <c r="B236" s="83"/>
      <c r="C236" s="67"/>
      <c r="D236" s="55" t="s">
        <v>20</v>
      </c>
      <c r="E236" s="13" t="s">
        <v>276</v>
      </c>
      <c r="F236" s="13" t="s">
        <v>310</v>
      </c>
      <c r="G236" s="55" t="s">
        <v>23</v>
      </c>
      <c r="H236" s="15"/>
      <c r="I236" s="15"/>
      <c r="J236" s="15">
        <f t="shared" si="4"/>
        <v>0</v>
      </c>
    </row>
    <row r="237" spans="1:10">
      <c r="A237" s="76"/>
      <c r="B237" s="83"/>
      <c r="C237" s="67"/>
      <c r="D237" s="55" t="s">
        <v>20</v>
      </c>
      <c r="E237" s="13" t="s">
        <v>276</v>
      </c>
      <c r="F237" s="13" t="s">
        <v>311</v>
      </c>
      <c r="G237" s="55" t="s">
        <v>23</v>
      </c>
      <c r="H237" s="15"/>
      <c r="I237" s="15"/>
      <c r="J237" s="15">
        <f t="shared" si="4"/>
        <v>0</v>
      </c>
    </row>
    <row r="238" spans="1:10">
      <c r="A238" s="76"/>
      <c r="B238" s="83"/>
      <c r="C238" s="67"/>
      <c r="D238" s="55" t="s">
        <v>20</v>
      </c>
      <c r="E238" s="13" t="s">
        <v>276</v>
      </c>
      <c r="F238" s="13" t="s">
        <v>312</v>
      </c>
      <c r="G238" s="55" t="s">
        <v>23</v>
      </c>
      <c r="H238" s="15"/>
      <c r="I238" s="15"/>
      <c r="J238" s="15">
        <f t="shared" si="4"/>
        <v>0</v>
      </c>
    </row>
    <row r="239" spans="1:10">
      <c r="A239" s="76"/>
      <c r="B239" s="83"/>
      <c r="C239" s="67"/>
      <c r="D239" s="55" t="s">
        <v>20</v>
      </c>
      <c r="E239" s="13" t="s">
        <v>276</v>
      </c>
      <c r="F239" s="13" t="s">
        <v>313</v>
      </c>
      <c r="G239" s="55" t="s">
        <v>23</v>
      </c>
      <c r="H239" s="15"/>
      <c r="I239" s="15"/>
      <c r="J239" s="15">
        <f t="shared" si="4"/>
        <v>0</v>
      </c>
    </row>
    <row r="240" spans="1:10">
      <c r="A240" s="76"/>
      <c r="B240" s="83"/>
      <c r="C240" s="67"/>
      <c r="D240" s="55" t="s">
        <v>20</v>
      </c>
      <c r="E240" s="13" t="s">
        <v>276</v>
      </c>
      <c r="F240" s="13" t="s">
        <v>314</v>
      </c>
      <c r="G240" s="55" t="s">
        <v>23</v>
      </c>
      <c r="H240" s="15"/>
      <c r="I240" s="15"/>
      <c r="J240" s="15">
        <f t="shared" si="4"/>
        <v>0</v>
      </c>
    </row>
    <row r="241" spans="1:10">
      <c r="A241" s="76"/>
      <c r="B241" s="83"/>
      <c r="C241" s="67"/>
      <c r="D241" s="55" t="s">
        <v>20</v>
      </c>
      <c r="E241" s="13" t="s">
        <v>276</v>
      </c>
      <c r="F241" s="13" t="s">
        <v>315</v>
      </c>
      <c r="G241" s="55" t="s">
        <v>23</v>
      </c>
      <c r="H241" s="15"/>
      <c r="I241" s="15"/>
      <c r="J241" s="15">
        <f t="shared" si="4"/>
        <v>0</v>
      </c>
    </row>
    <row r="242" spans="1:10">
      <c r="A242" s="76"/>
      <c r="B242" s="83"/>
      <c r="C242" s="67"/>
      <c r="D242" s="55" t="s">
        <v>20</v>
      </c>
      <c r="E242" s="13" t="s">
        <v>276</v>
      </c>
      <c r="F242" s="13" t="s">
        <v>316</v>
      </c>
      <c r="G242" s="55" t="s">
        <v>23</v>
      </c>
      <c r="H242" s="15"/>
      <c r="I242" s="15"/>
      <c r="J242" s="15">
        <f t="shared" si="4"/>
        <v>0</v>
      </c>
    </row>
    <row r="243" spans="1:10">
      <c r="A243" s="76"/>
      <c r="B243" s="83"/>
      <c r="C243" s="67"/>
      <c r="D243" s="55" t="s">
        <v>20</v>
      </c>
      <c r="E243" s="13" t="s">
        <v>276</v>
      </c>
      <c r="F243" s="13" t="s">
        <v>317</v>
      </c>
      <c r="G243" s="55" t="s">
        <v>23</v>
      </c>
      <c r="H243" s="15"/>
      <c r="I243" s="15"/>
      <c r="J243" s="15">
        <f t="shared" si="4"/>
        <v>0</v>
      </c>
    </row>
    <row r="244" spans="1:10">
      <c r="A244" s="76"/>
      <c r="B244" s="83"/>
      <c r="C244" s="67"/>
      <c r="D244" s="55" t="s">
        <v>20</v>
      </c>
      <c r="E244" s="13" t="s">
        <v>276</v>
      </c>
      <c r="F244" s="13" t="s">
        <v>318</v>
      </c>
      <c r="G244" s="55" t="s">
        <v>23</v>
      </c>
      <c r="H244" s="15"/>
      <c r="I244" s="15"/>
      <c r="J244" s="15">
        <f t="shared" ref="J244:J259" si="5">+ROUND(PRODUCT(H244*I244),0)</f>
        <v>0</v>
      </c>
    </row>
    <row r="245" spans="1:10">
      <c r="A245" s="76"/>
      <c r="B245" s="83"/>
      <c r="C245" s="67"/>
      <c r="D245" s="55" t="s">
        <v>20</v>
      </c>
      <c r="E245" s="13" t="s">
        <v>276</v>
      </c>
      <c r="F245" s="13" t="s">
        <v>319</v>
      </c>
      <c r="G245" s="55" t="s">
        <v>63</v>
      </c>
      <c r="H245" s="15"/>
      <c r="I245" s="15"/>
      <c r="J245" s="15">
        <f t="shared" si="5"/>
        <v>0</v>
      </c>
    </row>
    <row r="246" spans="1:10">
      <c r="A246" s="76"/>
      <c r="B246" s="83"/>
      <c r="C246" s="67"/>
      <c r="D246" s="55" t="s">
        <v>20</v>
      </c>
      <c r="E246" s="13" t="s">
        <v>276</v>
      </c>
      <c r="F246" s="13" t="s">
        <v>320</v>
      </c>
      <c r="G246" s="55" t="s">
        <v>23</v>
      </c>
      <c r="H246" s="15"/>
      <c r="I246" s="15"/>
      <c r="J246" s="15">
        <f t="shared" si="5"/>
        <v>0</v>
      </c>
    </row>
    <row r="247" spans="1:10">
      <c r="A247" s="76"/>
      <c r="B247" s="83"/>
      <c r="C247" s="67"/>
      <c r="D247" s="55" t="s">
        <v>20</v>
      </c>
      <c r="E247" s="13" t="s">
        <v>276</v>
      </c>
      <c r="F247" s="13" t="s">
        <v>321</v>
      </c>
      <c r="G247" s="55" t="s">
        <v>23</v>
      </c>
      <c r="H247" s="15"/>
      <c r="I247" s="15"/>
      <c r="J247" s="15">
        <f t="shared" si="5"/>
        <v>0</v>
      </c>
    </row>
    <row r="248" spans="1:10">
      <c r="A248" s="76"/>
      <c r="B248" s="83"/>
      <c r="C248" s="67"/>
      <c r="D248" s="55" t="s">
        <v>20</v>
      </c>
      <c r="E248" s="13" t="s">
        <v>276</v>
      </c>
      <c r="F248" s="13" t="s">
        <v>322</v>
      </c>
      <c r="G248" s="55" t="s">
        <v>23</v>
      </c>
      <c r="H248" s="15"/>
      <c r="I248" s="15"/>
      <c r="J248" s="15">
        <f t="shared" si="5"/>
        <v>0</v>
      </c>
    </row>
    <row r="249" spans="1:10">
      <c r="A249" s="76"/>
      <c r="B249" s="83"/>
      <c r="C249" s="67"/>
      <c r="D249" s="55" t="s">
        <v>20</v>
      </c>
      <c r="E249" s="13" t="s">
        <v>276</v>
      </c>
      <c r="F249" s="13" t="s">
        <v>323</v>
      </c>
      <c r="G249" s="55" t="s">
        <v>23</v>
      </c>
      <c r="H249" s="15"/>
      <c r="I249" s="15"/>
      <c r="J249" s="15">
        <f t="shared" si="5"/>
        <v>0</v>
      </c>
    </row>
    <row r="250" spans="1:10">
      <c r="A250" s="76"/>
      <c r="B250" s="83"/>
      <c r="C250" s="67"/>
      <c r="D250" s="55" t="s">
        <v>20</v>
      </c>
      <c r="E250" s="13" t="s">
        <v>276</v>
      </c>
      <c r="F250" s="13" t="s">
        <v>324</v>
      </c>
      <c r="G250" s="55" t="s">
        <v>23</v>
      </c>
      <c r="H250" s="15"/>
      <c r="I250" s="15"/>
      <c r="J250" s="15">
        <f t="shared" si="5"/>
        <v>0</v>
      </c>
    </row>
    <row r="251" spans="1:10">
      <c r="A251" s="76"/>
      <c r="B251" s="83"/>
      <c r="C251" s="67"/>
      <c r="D251" s="55" t="s">
        <v>20</v>
      </c>
      <c r="E251" s="13" t="s">
        <v>276</v>
      </c>
      <c r="F251" s="13" t="s">
        <v>325</v>
      </c>
      <c r="G251" s="55" t="s">
        <v>23</v>
      </c>
      <c r="H251" s="15"/>
      <c r="I251" s="15"/>
      <c r="J251" s="15">
        <f t="shared" si="5"/>
        <v>0</v>
      </c>
    </row>
    <row r="252" spans="1:10">
      <c r="A252" s="76"/>
      <c r="B252" s="83"/>
      <c r="C252" s="67"/>
      <c r="D252" s="55" t="s">
        <v>20</v>
      </c>
      <c r="E252" s="13" t="s">
        <v>276</v>
      </c>
      <c r="F252" s="13" t="s">
        <v>326</v>
      </c>
      <c r="G252" s="55" t="s">
        <v>63</v>
      </c>
      <c r="H252" s="15"/>
      <c r="I252" s="15"/>
      <c r="J252" s="15">
        <f t="shared" si="5"/>
        <v>0</v>
      </c>
    </row>
    <row r="253" spans="1:10">
      <c r="A253" s="76"/>
      <c r="B253" s="83"/>
      <c r="C253" s="67"/>
      <c r="D253" s="55" t="s">
        <v>20</v>
      </c>
      <c r="E253" s="13" t="s">
        <v>276</v>
      </c>
      <c r="F253" s="13" t="s">
        <v>327</v>
      </c>
      <c r="G253" s="55" t="s">
        <v>23</v>
      </c>
      <c r="H253" s="15"/>
      <c r="I253" s="15"/>
      <c r="J253" s="15">
        <f t="shared" si="5"/>
        <v>0</v>
      </c>
    </row>
    <row r="254" spans="1:10">
      <c r="A254" s="76"/>
      <c r="B254" s="83"/>
      <c r="C254" s="67"/>
      <c r="D254" s="55" t="s">
        <v>20</v>
      </c>
      <c r="E254" s="13" t="s">
        <v>276</v>
      </c>
      <c r="F254" s="13" t="s">
        <v>328</v>
      </c>
      <c r="G254" s="55" t="s">
        <v>23</v>
      </c>
      <c r="H254" s="15"/>
      <c r="I254" s="15"/>
      <c r="J254" s="15">
        <f t="shared" si="5"/>
        <v>0</v>
      </c>
    </row>
    <row r="255" spans="1:10">
      <c r="A255" s="76"/>
      <c r="B255" s="83"/>
      <c r="C255" s="67"/>
      <c r="D255" s="55" t="s">
        <v>20</v>
      </c>
      <c r="E255" s="13" t="s">
        <v>276</v>
      </c>
      <c r="F255" s="13" t="s">
        <v>329</v>
      </c>
      <c r="G255" s="55" t="s">
        <v>23</v>
      </c>
      <c r="H255" s="15"/>
      <c r="I255" s="15"/>
      <c r="J255" s="15">
        <f t="shared" si="5"/>
        <v>0</v>
      </c>
    </row>
    <row r="256" spans="1:10">
      <c r="A256" s="76"/>
      <c r="B256" s="83"/>
      <c r="C256" s="67"/>
      <c r="D256" s="55" t="s">
        <v>20</v>
      </c>
      <c r="E256" s="13" t="s">
        <v>330</v>
      </c>
      <c r="F256" s="13" t="s">
        <v>331</v>
      </c>
      <c r="G256" s="55" t="s">
        <v>23</v>
      </c>
      <c r="H256" s="15"/>
      <c r="I256" s="15"/>
      <c r="J256" s="15">
        <f t="shared" si="5"/>
        <v>0</v>
      </c>
    </row>
    <row r="257" spans="1:10">
      <c r="A257" s="76"/>
      <c r="B257" s="83"/>
      <c r="C257" s="67"/>
      <c r="D257" s="55" t="s">
        <v>20</v>
      </c>
      <c r="E257" s="13" t="s">
        <v>271</v>
      </c>
      <c r="F257" s="13" t="s">
        <v>332</v>
      </c>
      <c r="G257" s="55" t="s">
        <v>23</v>
      </c>
      <c r="H257" s="15"/>
      <c r="I257" s="15"/>
      <c r="J257" s="15">
        <f t="shared" si="5"/>
        <v>0</v>
      </c>
    </row>
    <row r="258" spans="1:10">
      <c r="A258" s="76"/>
      <c r="B258" s="83"/>
      <c r="C258" s="68"/>
      <c r="D258" s="55" t="s">
        <v>20</v>
      </c>
      <c r="E258" s="13" t="s">
        <v>133</v>
      </c>
      <c r="F258" s="13" t="s">
        <v>333</v>
      </c>
      <c r="G258" s="55" t="s">
        <v>23</v>
      </c>
      <c r="H258" s="15"/>
      <c r="I258" s="15"/>
      <c r="J258" s="15">
        <f t="shared" si="5"/>
        <v>0</v>
      </c>
    </row>
    <row r="259" spans="1:10">
      <c r="A259" s="88"/>
      <c r="B259" s="89"/>
      <c r="C259" s="13" t="s">
        <v>406</v>
      </c>
      <c r="D259" s="55" t="s">
        <v>11</v>
      </c>
      <c r="E259" s="13" t="s">
        <v>12</v>
      </c>
      <c r="F259" s="13" t="s">
        <v>13</v>
      </c>
      <c r="G259" s="55" t="s">
        <v>14</v>
      </c>
      <c r="H259" s="15"/>
      <c r="I259" s="15"/>
      <c r="J259" s="15">
        <f t="shared" si="5"/>
        <v>0</v>
      </c>
    </row>
  </sheetData>
  <mergeCells count="8">
    <mergeCell ref="A1:J1"/>
    <mergeCell ref="A2:J2"/>
    <mergeCell ref="A4:A259"/>
    <mergeCell ref="B4:B259"/>
    <mergeCell ref="C4:C6"/>
    <mergeCell ref="C7:C73"/>
    <mergeCell ref="C74:C201"/>
    <mergeCell ref="C202:C258"/>
  </mergeCells>
  <pageMargins left="0.7" right="0.7" top="0.75" bottom="0.75" header="0.3" footer="0.3"/>
  <pageSetup paperSize="1" scale="4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9"/>
  <sheetViews>
    <sheetView view="pageBreakPreview" zoomScale="85" zoomScaleNormal="100" topLeftCell="A39" workbookViewId="0">
      <selection activeCell="F33" sqref="F33"/>
    </sheetView>
  </sheetViews>
  <sheetFormatPr defaultColWidth="26.8888888888889" defaultRowHeight="14.4"/>
  <cols>
    <col min="1" max="1" width="8.88888888888889" customWidth="1"/>
    <col min="2" max="2" width="18.8148148148148" customWidth="1"/>
    <col min="3" max="3" width="22.7777777777778" style="1" customWidth="1"/>
    <col min="4" max="4" width="14.75" style="26" customWidth="1"/>
    <col min="5" max="5" width="29.0462962962963" style="1" customWidth="1"/>
    <col min="6" max="6" width="44.3055555555556" style="1" customWidth="1"/>
    <col min="7" max="7" width="11.3333333333333" style="26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5"/>
      <c r="F1" s="5"/>
      <c r="G1" s="3"/>
      <c r="H1" s="3"/>
      <c r="I1" s="3"/>
      <c r="J1" s="3"/>
    </row>
    <row r="2" customFormat="1" ht="18" spans="1:10">
      <c r="A2" s="72" t="s">
        <v>1107</v>
      </c>
      <c r="B2" s="73"/>
      <c r="C2" s="73"/>
      <c r="D2" s="73"/>
      <c r="E2" s="73"/>
      <c r="F2" s="73"/>
      <c r="G2" s="73"/>
      <c r="H2" s="73"/>
      <c r="I2" s="73"/>
      <c r="J2" s="74"/>
    </row>
    <row r="3" s="26" customFormat="1" ht="28" customHeight="1" spans="1:10">
      <c r="A3" s="6" t="s">
        <v>1104</v>
      </c>
      <c r="B3" s="6" t="s">
        <v>1105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>
      <c r="A4" s="75">
        <v>2</v>
      </c>
      <c r="B4" s="75" t="s">
        <v>1108</v>
      </c>
      <c r="C4" s="65" t="s">
        <v>335</v>
      </c>
      <c r="D4" s="55" t="s">
        <v>11</v>
      </c>
      <c r="E4" s="13" t="s">
        <v>12</v>
      </c>
      <c r="F4" s="13" t="s">
        <v>13</v>
      </c>
      <c r="G4" s="55" t="s">
        <v>14</v>
      </c>
      <c r="H4" s="15"/>
      <c r="I4" s="15"/>
      <c r="J4" s="15">
        <f>+ROUND(PRODUCT(H4*I4),0)</f>
        <v>0</v>
      </c>
    </row>
    <row r="5" spans="1:10">
      <c r="A5" s="76"/>
      <c r="B5" s="76"/>
      <c r="C5" s="67"/>
      <c r="D5" s="55" t="s">
        <v>20</v>
      </c>
      <c r="E5" s="13" t="s">
        <v>61</v>
      </c>
      <c r="F5" s="13" t="s">
        <v>336</v>
      </c>
      <c r="G5" s="55" t="s">
        <v>23</v>
      </c>
      <c r="H5" s="15"/>
      <c r="I5" s="15"/>
      <c r="J5" s="15">
        <f t="shared" ref="J5:J68" si="0">+ROUND(PRODUCT(H5*I5),0)</f>
        <v>0</v>
      </c>
    </row>
    <row r="6" ht="28.8" spans="1:10">
      <c r="A6" s="76"/>
      <c r="B6" s="76"/>
      <c r="C6" s="67"/>
      <c r="D6" s="55" t="s">
        <v>20</v>
      </c>
      <c r="E6" s="13" t="s">
        <v>337</v>
      </c>
      <c r="F6" s="13" t="s">
        <v>338</v>
      </c>
      <c r="G6" s="55" t="s">
        <v>23</v>
      </c>
      <c r="H6" s="15"/>
      <c r="I6" s="15"/>
      <c r="J6" s="15">
        <f t="shared" si="0"/>
        <v>0</v>
      </c>
    </row>
    <row r="7" ht="28.8" spans="1:10">
      <c r="A7" s="76"/>
      <c r="B7" s="76"/>
      <c r="C7" s="67"/>
      <c r="D7" s="55" t="s">
        <v>20</v>
      </c>
      <c r="E7" s="13" t="s">
        <v>337</v>
      </c>
      <c r="F7" s="13" t="s">
        <v>339</v>
      </c>
      <c r="G7" s="55" t="s">
        <v>23</v>
      </c>
      <c r="H7" s="15"/>
      <c r="I7" s="15"/>
      <c r="J7" s="15">
        <f t="shared" si="0"/>
        <v>0</v>
      </c>
    </row>
    <row r="8" ht="28.8" spans="1:10">
      <c r="A8" s="76"/>
      <c r="B8" s="76"/>
      <c r="C8" s="67"/>
      <c r="D8" s="55" t="s">
        <v>20</v>
      </c>
      <c r="E8" s="13" t="s">
        <v>337</v>
      </c>
      <c r="F8" s="13" t="s">
        <v>340</v>
      </c>
      <c r="G8" s="55" t="s">
        <v>23</v>
      </c>
      <c r="H8" s="15"/>
      <c r="I8" s="15"/>
      <c r="J8" s="15">
        <f t="shared" si="0"/>
        <v>0</v>
      </c>
    </row>
    <row r="9" ht="28.8" spans="1:10">
      <c r="A9" s="76"/>
      <c r="B9" s="76"/>
      <c r="C9" s="67"/>
      <c r="D9" s="55" t="s">
        <v>20</v>
      </c>
      <c r="E9" s="13" t="s">
        <v>337</v>
      </c>
      <c r="F9" s="13" t="s">
        <v>341</v>
      </c>
      <c r="G9" s="55" t="s">
        <v>23</v>
      </c>
      <c r="H9" s="15"/>
      <c r="I9" s="15"/>
      <c r="J9" s="15">
        <f t="shared" si="0"/>
        <v>0</v>
      </c>
    </row>
    <row r="10" spans="1:10">
      <c r="A10" s="76"/>
      <c r="B10" s="76"/>
      <c r="C10" s="67"/>
      <c r="D10" s="55" t="s">
        <v>20</v>
      </c>
      <c r="E10" s="13" t="s">
        <v>268</v>
      </c>
      <c r="F10" s="13" t="s">
        <v>342</v>
      </c>
      <c r="G10" s="55" t="s">
        <v>23</v>
      </c>
      <c r="H10" s="15"/>
      <c r="I10" s="15"/>
      <c r="J10" s="15">
        <f t="shared" si="0"/>
        <v>0</v>
      </c>
    </row>
    <row r="11" spans="1:10">
      <c r="A11" s="76"/>
      <c r="B11" s="76"/>
      <c r="C11" s="67"/>
      <c r="D11" s="55" t="s">
        <v>20</v>
      </c>
      <c r="E11" s="13" t="s">
        <v>268</v>
      </c>
      <c r="F11" s="13" t="s">
        <v>343</v>
      </c>
      <c r="G11" s="55" t="s">
        <v>23</v>
      </c>
      <c r="H11" s="15"/>
      <c r="I11" s="15"/>
      <c r="J11" s="15">
        <f t="shared" si="0"/>
        <v>0</v>
      </c>
    </row>
    <row r="12" spans="1:10">
      <c r="A12" s="76"/>
      <c r="B12" s="76"/>
      <c r="C12" s="67"/>
      <c r="D12" s="55" t="s">
        <v>20</v>
      </c>
      <c r="E12" s="13" t="s">
        <v>268</v>
      </c>
      <c r="F12" s="13" t="s">
        <v>344</v>
      </c>
      <c r="G12" s="55" t="s">
        <v>23</v>
      </c>
      <c r="H12" s="15"/>
      <c r="I12" s="15"/>
      <c r="J12" s="15">
        <f t="shared" si="0"/>
        <v>0</v>
      </c>
    </row>
    <row r="13" spans="1:10">
      <c r="A13" s="76"/>
      <c r="B13" s="76"/>
      <c r="C13" s="67"/>
      <c r="D13" s="55" t="s">
        <v>20</v>
      </c>
      <c r="E13" s="13" t="s">
        <v>268</v>
      </c>
      <c r="F13" s="13" t="s">
        <v>345</v>
      </c>
      <c r="G13" s="55" t="s">
        <v>23</v>
      </c>
      <c r="H13" s="15"/>
      <c r="I13" s="15"/>
      <c r="J13" s="15">
        <f t="shared" si="0"/>
        <v>0</v>
      </c>
    </row>
    <row r="14" spans="1:10">
      <c r="A14" s="76"/>
      <c r="B14" s="76"/>
      <c r="C14" s="67"/>
      <c r="D14" s="55" t="s">
        <v>20</v>
      </c>
      <c r="E14" s="13" t="s">
        <v>268</v>
      </c>
      <c r="F14" s="13" t="s">
        <v>346</v>
      </c>
      <c r="G14" s="55" t="s">
        <v>23</v>
      </c>
      <c r="H14" s="15"/>
      <c r="I14" s="15"/>
      <c r="J14" s="15">
        <f t="shared" si="0"/>
        <v>0</v>
      </c>
    </row>
    <row r="15" spans="1:10">
      <c r="A15" s="76"/>
      <c r="B15" s="76"/>
      <c r="C15" s="67"/>
      <c r="D15" s="55" t="s">
        <v>20</v>
      </c>
      <c r="E15" s="13" t="s">
        <v>268</v>
      </c>
      <c r="F15" s="13" t="s">
        <v>347</v>
      </c>
      <c r="G15" s="55" t="s">
        <v>270</v>
      </c>
      <c r="H15" s="15"/>
      <c r="I15" s="15"/>
      <c r="J15" s="15">
        <f t="shared" si="0"/>
        <v>0</v>
      </c>
    </row>
    <row r="16" spans="1:10">
      <c r="A16" s="76"/>
      <c r="B16" s="76"/>
      <c r="C16" s="67"/>
      <c r="D16" s="55" t="s">
        <v>20</v>
      </c>
      <c r="E16" s="13" t="s">
        <v>268</v>
      </c>
      <c r="F16" s="13" t="s">
        <v>348</v>
      </c>
      <c r="G16" s="55" t="s">
        <v>23</v>
      </c>
      <c r="H16" s="15"/>
      <c r="I16" s="15"/>
      <c r="J16" s="15">
        <f t="shared" si="0"/>
        <v>0</v>
      </c>
    </row>
    <row r="17" spans="1:10">
      <c r="A17" s="76"/>
      <c r="B17" s="76"/>
      <c r="C17" s="67"/>
      <c r="D17" s="55" t="s">
        <v>20</v>
      </c>
      <c r="E17" s="13" t="s">
        <v>268</v>
      </c>
      <c r="F17" s="13" t="s">
        <v>349</v>
      </c>
      <c r="G17" s="55" t="s">
        <v>23</v>
      </c>
      <c r="H17" s="15"/>
      <c r="I17" s="15"/>
      <c r="J17" s="15">
        <f t="shared" si="0"/>
        <v>0</v>
      </c>
    </row>
    <row r="18" spans="1:10">
      <c r="A18" s="76"/>
      <c r="B18" s="76"/>
      <c r="C18" s="67"/>
      <c r="D18" s="55" t="s">
        <v>20</v>
      </c>
      <c r="E18" s="13" t="s">
        <v>268</v>
      </c>
      <c r="F18" s="13" t="s">
        <v>350</v>
      </c>
      <c r="G18" s="55" t="s">
        <v>23</v>
      </c>
      <c r="H18" s="15"/>
      <c r="I18" s="15"/>
      <c r="J18" s="15">
        <f t="shared" si="0"/>
        <v>0</v>
      </c>
    </row>
    <row r="19" spans="1:10">
      <c r="A19" s="76"/>
      <c r="B19" s="76"/>
      <c r="C19" s="67"/>
      <c r="D19" s="55" t="s">
        <v>20</v>
      </c>
      <c r="E19" s="13" t="s">
        <v>268</v>
      </c>
      <c r="F19" s="13" t="s">
        <v>351</v>
      </c>
      <c r="G19" s="55" t="s">
        <v>23</v>
      </c>
      <c r="H19" s="15"/>
      <c r="I19" s="15"/>
      <c r="J19" s="15">
        <f t="shared" si="0"/>
        <v>0</v>
      </c>
    </row>
    <row r="20" spans="1:10">
      <c r="A20" s="76"/>
      <c r="B20" s="76"/>
      <c r="C20" s="67"/>
      <c r="D20" s="55" t="s">
        <v>20</v>
      </c>
      <c r="E20" s="13" t="s">
        <v>268</v>
      </c>
      <c r="F20" s="13" t="s">
        <v>352</v>
      </c>
      <c r="G20" s="55" t="s">
        <v>23</v>
      </c>
      <c r="H20" s="15"/>
      <c r="I20" s="15"/>
      <c r="J20" s="15">
        <f t="shared" si="0"/>
        <v>0</v>
      </c>
    </row>
    <row r="21" spans="1:10">
      <c r="A21" s="76"/>
      <c r="B21" s="76"/>
      <c r="C21" s="67"/>
      <c r="D21" s="55" t="s">
        <v>20</v>
      </c>
      <c r="E21" s="13" t="s">
        <v>268</v>
      </c>
      <c r="F21" s="13" t="s">
        <v>353</v>
      </c>
      <c r="G21" s="55" t="s">
        <v>23</v>
      </c>
      <c r="H21" s="15"/>
      <c r="I21" s="15"/>
      <c r="J21" s="15">
        <f t="shared" si="0"/>
        <v>0</v>
      </c>
    </row>
    <row r="22" spans="1:10">
      <c r="A22" s="76"/>
      <c r="B22" s="76"/>
      <c r="C22" s="67"/>
      <c r="D22" s="55" t="s">
        <v>20</v>
      </c>
      <c r="E22" s="13" t="s">
        <v>268</v>
      </c>
      <c r="F22" s="13" t="s">
        <v>354</v>
      </c>
      <c r="G22" s="55" t="s">
        <v>23</v>
      </c>
      <c r="H22" s="15"/>
      <c r="I22" s="15"/>
      <c r="J22" s="15">
        <f t="shared" si="0"/>
        <v>0</v>
      </c>
    </row>
    <row r="23" spans="1:10">
      <c r="A23" s="76"/>
      <c r="B23" s="76"/>
      <c r="C23" s="67"/>
      <c r="D23" s="55" t="s">
        <v>20</v>
      </c>
      <c r="E23" s="13" t="s">
        <v>268</v>
      </c>
      <c r="F23" s="13" t="s">
        <v>355</v>
      </c>
      <c r="G23" s="55" t="s">
        <v>23</v>
      </c>
      <c r="H23" s="15"/>
      <c r="I23" s="15"/>
      <c r="J23" s="15">
        <f t="shared" si="0"/>
        <v>0</v>
      </c>
    </row>
    <row r="24" spans="1:10">
      <c r="A24" s="76"/>
      <c r="B24" s="76"/>
      <c r="C24" s="67"/>
      <c r="D24" s="55" t="s">
        <v>20</v>
      </c>
      <c r="E24" s="13" t="s">
        <v>268</v>
      </c>
      <c r="F24" s="13" t="s">
        <v>356</v>
      </c>
      <c r="G24" s="55" t="s">
        <v>23</v>
      </c>
      <c r="H24" s="15"/>
      <c r="I24" s="15"/>
      <c r="J24" s="15">
        <f t="shared" si="0"/>
        <v>0</v>
      </c>
    </row>
    <row r="25" spans="1:10">
      <c r="A25" s="76"/>
      <c r="B25" s="76"/>
      <c r="C25" s="67"/>
      <c r="D25" s="55" t="s">
        <v>20</v>
      </c>
      <c r="E25" s="13" t="s">
        <v>268</v>
      </c>
      <c r="F25" s="13" t="s">
        <v>357</v>
      </c>
      <c r="G25" s="55" t="s">
        <v>23</v>
      </c>
      <c r="H25" s="15"/>
      <c r="I25" s="15"/>
      <c r="J25" s="15">
        <f t="shared" si="0"/>
        <v>0</v>
      </c>
    </row>
    <row r="26" spans="1:10">
      <c r="A26" s="76"/>
      <c r="B26" s="76"/>
      <c r="C26" s="67"/>
      <c r="D26" s="55" t="s">
        <v>20</v>
      </c>
      <c r="E26" s="13" t="s">
        <v>268</v>
      </c>
      <c r="F26" s="13" t="s">
        <v>358</v>
      </c>
      <c r="G26" s="55" t="s">
        <v>270</v>
      </c>
      <c r="H26" s="15"/>
      <c r="I26" s="15"/>
      <c r="J26" s="15">
        <f t="shared" si="0"/>
        <v>0</v>
      </c>
    </row>
    <row r="27" spans="1:10">
      <c r="A27" s="76"/>
      <c r="B27" s="76"/>
      <c r="C27" s="67"/>
      <c r="D27" s="55" t="s">
        <v>20</v>
      </c>
      <c r="E27" s="13" t="s">
        <v>268</v>
      </c>
      <c r="F27" s="13" t="s">
        <v>359</v>
      </c>
      <c r="G27" s="55" t="s">
        <v>270</v>
      </c>
      <c r="H27" s="15"/>
      <c r="I27" s="15"/>
      <c r="J27" s="15">
        <f t="shared" si="0"/>
        <v>0</v>
      </c>
    </row>
    <row r="28" spans="1:10">
      <c r="A28" s="76"/>
      <c r="B28" s="76"/>
      <c r="C28" s="67"/>
      <c r="D28" s="55" t="s">
        <v>20</v>
      </c>
      <c r="E28" s="13" t="s">
        <v>268</v>
      </c>
      <c r="F28" s="13" t="s">
        <v>360</v>
      </c>
      <c r="G28" s="55" t="s">
        <v>23</v>
      </c>
      <c r="H28" s="15"/>
      <c r="I28" s="15"/>
      <c r="J28" s="15">
        <f t="shared" si="0"/>
        <v>0</v>
      </c>
    </row>
    <row r="29" spans="1:10">
      <c r="A29" s="76"/>
      <c r="B29" s="76"/>
      <c r="C29" s="67"/>
      <c r="D29" s="55" t="s">
        <v>20</v>
      </c>
      <c r="E29" s="13" t="s">
        <v>268</v>
      </c>
      <c r="F29" s="13" t="s">
        <v>361</v>
      </c>
      <c r="G29" s="55" t="s">
        <v>23</v>
      </c>
      <c r="H29" s="15"/>
      <c r="I29" s="15"/>
      <c r="J29" s="15">
        <f t="shared" si="0"/>
        <v>0</v>
      </c>
    </row>
    <row r="30" spans="1:10">
      <c r="A30" s="76"/>
      <c r="B30" s="76"/>
      <c r="C30" s="67"/>
      <c r="D30" s="55" t="s">
        <v>20</v>
      </c>
      <c r="E30" s="13" t="s">
        <v>268</v>
      </c>
      <c r="F30" s="13" t="s">
        <v>362</v>
      </c>
      <c r="G30" s="55" t="s">
        <v>100</v>
      </c>
      <c r="H30" s="15"/>
      <c r="I30" s="15"/>
      <c r="J30" s="15">
        <f t="shared" si="0"/>
        <v>0</v>
      </c>
    </row>
    <row r="31" spans="1:10">
      <c r="A31" s="76"/>
      <c r="B31" s="76"/>
      <c r="C31" s="67"/>
      <c r="D31" s="55" t="s">
        <v>20</v>
      </c>
      <c r="E31" s="13" t="s">
        <v>268</v>
      </c>
      <c r="F31" s="13" t="s">
        <v>363</v>
      </c>
      <c r="G31" s="55" t="s">
        <v>270</v>
      </c>
      <c r="H31" s="15"/>
      <c r="I31" s="15"/>
      <c r="J31" s="15">
        <f t="shared" si="0"/>
        <v>0</v>
      </c>
    </row>
    <row r="32" spans="1:10">
      <c r="A32" s="76"/>
      <c r="B32" s="76"/>
      <c r="C32" s="67"/>
      <c r="D32" s="55" t="s">
        <v>20</v>
      </c>
      <c r="E32" s="13" t="s">
        <v>268</v>
      </c>
      <c r="F32" s="13" t="s">
        <v>364</v>
      </c>
      <c r="G32" s="55" t="s">
        <v>23</v>
      </c>
      <c r="H32" s="15"/>
      <c r="I32" s="15"/>
      <c r="J32" s="15">
        <f t="shared" si="0"/>
        <v>0</v>
      </c>
    </row>
    <row r="33" spans="1:10">
      <c r="A33" s="76"/>
      <c r="B33" s="76"/>
      <c r="C33" s="67"/>
      <c r="D33" s="55" t="s">
        <v>20</v>
      </c>
      <c r="E33" s="13" t="s">
        <v>268</v>
      </c>
      <c r="F33" s="13" t="s">
        <v>365</v>
      </c>
      <c r="G33" s="55" t="s">
        <v>23</v>
      </c>
      <c r="H33" s="15"/>
      <c r="I33" s="15"/>
      <c r="J33" s="15">
        <f t="shared" si="0"/>
        <v>0</v>
      </c>
    </row>
    <row r="34" spans="1:10">
      <c r="A34" s="76"/>
      <c r="B34" s="76"/>
      <c r="C34" s="67"/>
      <c r="D34" s="55" t="s">
        <v>20</v>
      </c>
      <c r="E34" s="13" t="s">
        <v>268</v>
      </c>
      <c r="F34" s="13" t="s">
        <v>366</v>
      </c>
      <c r="G34" s="55" t="s">
        <v>23</v>
      </c>
      <c r="H34" s="15"/>
      <c r="I34" s="15"/>
      <c r="J34" s="15">
        <f t="shared" si="0"/>
        <v>0</v>
      </c>
    </row>
    <row r="35" spans="1:10">
      <c r="A35" s="76"/>
      <c r="B35" s="76"/>
      <c r="C35" s="67"/>
      <c r="D35" s="55" t="s">
        <v>20</v>
      </c>
      <c r="E35" s="13" t="s">
        <v>268</v>
      </c>
      <c r="F35" s="13" t="s">
        <v>367</v>
      </c>
      <c r="G35" s="55" t="s">
        <v>23</v>
      </c>
      <c r="H35" s="15"/>
      <c r="I35" s="15"/>
      <c r="J35" s="15">
        <f t="shared" si="0"/>
        <v>0</v>
      </c>
    </row>
    <row r="36" spans="1:10">
      <c r="A36" s="76"/>
      <c r="B36" s="76"/>
      <c r="C36" s="67"/>
      <c r="D36" s="55" t="s">
        <v>20</v>
      </c>
      <c r="E36" s="13" t="s">
        <v>268</v>
      </c>
      <c r="F36" s="13" t="s">
        <v>368</v>
      </c>
      <c r="G36" s="55" t="s">
        <v>42</v>
      </c>
      <c r="H36" s="15"/>
      <c r="I36" s="15"/>
      <c r="J36" s="15">
        <f t="shared" si="0"/>
        <v>0</v>
      </c>
    </row>
    <row r="37" spans="1:10">
      <c r="A37" s="76"/>
      <c r="B37" s="76"/>
      <c r="C37" s="67"/>
      <c r="D37" s="55" t="s">
        <v>20</v>
      </c>
      <c r="E37" s="13" t="s">
        <v>268</v>
      </c>
      <c r="F37" s="13" t="s">
        <v>369</v>
      </c>
      <c r="G37" s="55" t="s">
        <v>23</v>
      </c>
      <c r="H37" s="15"/>
      <c r="I37" s="15"/>
      <c r="J37" s="15">
        <f t="shared" si="0"/>
        <v>0</v>
      </c>
    </row>
    <row r="38" spans="1:10">
      <c r="A38" s="76"/>
      <c r="B38" s="76"/>
      <c r="C38" s="67"/>
      <c r="D38" s="55" t="s">
        <v>20</v>
      </c>
      <c r="E38" s="13" t="s">
        <v>268</v>
      </c>
      <c r="F38" s="13" t="s">
        <v>370</v>
      </c>
      <c r="G38" s="55" t="s">
        <v>23</v>
      </c>
      <c r="H38" s="15"/>
      <c r="I38" s="15"/>
      <c r="J38" s="15">
        <f t="shared" si="0"/>
        <v>0</v>
      </c>
    </row>
    <row r="39" spans="1:10">
      <c r="A39" s="76"/>
      <c r="B39" s="76"/>
      <c r="C39" s="67"/>
      <c r="D39" s="55" t="s">
        <v>20</v>
      </c>
      <c r="E39" s="13" t="s">
        <v>268</v>
      </c>
      <c r="F39" s="13" t="s">
        <v>371</v>
      </c>
      <c r="G39" s="55" t="s">
        <v>23</v>
      </c>
      <c r="H39" s="15"/>
      <c r="I39" s="15"/>
      <c r="J39" s="15">
        <f t="shared" si="0"/>
        <v>0</v>
      </c>
    </row>
    <row r="40" spans="1:10">
      <c r="A40" s="76"/>
      <c r="B40" s="76"/>
      <c r="C40" s="67"/>
      <c r="D40" s="55" t="s">
        <v>20</v>
      </c>
      <c r="E40" s="13" t="s">
        <v>268</v>
      </c>
      <c r="F40" s="13" t="s">
        <v>372</v>
      </c>
      <c r="G40" s="55" t="s">
        <v>23</v>
      </c>
      <c r="H40" s="15"/>
      <c r="I40" s="15"/>
      <c r="J40" s="15">
        <f t="shared" si="0"/>
        <v>0</v>
      </c>
    </row>
    <row r="41" spans="1:10">
      <c r="A41" s="76"/>
      <c r="B41" s="76"/>
      <c r="C41" s="67"/>
      <c r="D41" s="55" t="s">
        <v>20</v>
      </c>
      <c r="E41" s="13" t="s">
        <v>268</v>
      </c>
      <c r="F41" s="13" t="s">
        <v>373</v>
      </c>
      <c r="G41" s="55" t="s">
        <v>23</v>
      </c>
      <c r="H41" s="15"/>
      <c r="I41" s="15"/>
      <c r="J41" s="15">
        <f t="shared" si="0"/>
        <v>0</v>
      </c>
    </row>
    <row r="42" spans="1:10">
      <c r="A42" s="76"/>
      <c r="B42" s="76"/>
      <c r="C42" s="67"/>
      <c r="D42" s="55" t="s">
        <v>20</v>
      </c>
      <c r="E42" s="13" t="s">
        <v>268</v>
      </c>
      <c r="F42" s="13" t="s">
        <v>374</v>
      </c>
      <c r="G42" s="55" t="s">
        <v>23</v>
      </c>
      <c r="H42" s="15"/>
      <c r="I42" s="15"/>
      <c r="J42" s="15">
        <f t="shared" si="0"/>
        <v>0</v>
      </c>
    </row>
    <row r="43" spans="1:10">
      <c r="A43" s="76"/>
      <c r="B43" s="76"/>
      <c r="C43" s="67"/>
      <c r="D43" s="55" t="s">
        <v>20</v>
      </c>
      <c r="E43" s="13" t="s">
        <v>268</v>
      </c>
      <c r="F43" s="13" t="s">
        <v>375</v>
      </c>
      <c r="G43" s="55" t="s">
        <v>23</v>
      </c>
      <c r="H43" s="15"/>
      <c r="I43" s="15"/>
      <c r="J43" s="15">
        <f t="shared" si="0"/>
        <v>0</v>
      </c>
    </row>
    <row r="44" spans="1:10">
      <c r="A44" s="76"/>
      <c r="B44" s="76"/>
      <c r="C44" s="67"/>
      <c r="D44" s="55" t="s">
        <v>20</v>
      </c>
      <c r="E44" s="13" t="s">
        <v>268</v>
      </c>
      <c r="F44" s="13" t="s">
        <v>376</v>
      </c>
      <c r="G44" s="55" t="s">
        <v>23</v>
      </c>
      <c r="H44" s="15"/>
      <c r="I44" s="15"/>
      <c r="J44" s="15">
        <f t="shared" si="0"/>
        <v>0</v>
      </c>
    </row>
    <row r="45" spans="1:10">
      <c r="A45" s="76"/>
      <c r="B45" s="76"/>
      <c r="C45" s="67"/>
      <c r="D45" s="55" t="s">
        <v>20</v>
      </c>
      <c r="E45" s="13" t="s">
        <v>268</v>
      </c>
      <c r="F45" s="13" t="s">
        <v>377</v>
      </c>
      <c r="G45" s="55" t="s">
        <v>23</v>
      </c>
      <c r="H45" s="15"/>
      <c r="I45" s="15"/>
      <c r="J45" s="15">
        <f t="shared" si="0"/>
        <v>0</v>
      </c>
    </row>
    <row r="46" spans="1:10">
      <c r="A46" s="76"/>
      <c r="B46" s="76"/>
      <c r="C46" s="67"/>
      <c r="D46" s="55" t="s">
        <v>20</v>
      </c>
      <c r="E46" s="13" t="s">
        <v>268</v>
      </c>
      <c r="F46" s="13" t="s">
        <v>378</v>
      </c>
      <c r="G46" s="55" t="s">
        <v>23</v>
      </c>
      <c r="H46" s="15"/>
      <c r="I46" s="15"/>
      <c r="J46" s="15">
        <f t="shared" si="0"/>
        <v>0</v>
      </c>
    </row>
    <row r="47" spans="1:10">
      <c r="A47" s="76"/>
      <c r="B47" s="76"/>
      <c r="C47" s="67"/>
      <c r="D47" s="55" t="s">
        <v>20</v>
      </c>
      <c r="E47" s="13" t="s">
        <v>268</v>
      </c>
      <c r="F47" s="13" t="s">
        <v>379</v>
      </c>
      <c r="G47" s="55" t="s">
        <v>23</v>
      </c>
      <c r="H47" s="15"/>
      <c r="I47" s="15"/>
      <c r="J47" s="15">
        <f t="shared" si="0"/>
        <v>0</v>
      </c>
    </row>
    <row r="48" spans="1:10">
      <c r="A48" s="76"/>
      <c r="B48" s="76"/>
      <c r="C48" s="67"/>
      <c r="D48" s="55" t="s">
        <v>20</v>
      </c>
      <c r="E48" s="13" t="s">
        <v>268</v>
      </c>
      <c r="F48" s="13" t="s">
        <v>380</v>
      </c>
      <c r="G48" s="55" t="s">
        <v>23</v>
      </c>
      <c r="H48" s="15"/>
      <c r="I48" s="15"/>
      <c r="J48" s="15">
        <f t="shared" si="0"/>
        <v>0</v>
      </c>
    </row>
    <row r="49" spans="1:10">
      <c r="A49" s="76"/>
      <c r="B49" s="76"/>
      <c r="C49" s="67"/>
      <c r="D49" s="55" t="s">
        <v>20</v>
      </c>
      <c r="E49" s="13" t="s">
        <v>268</v>
      </c>
      <c r="F49" s="13" t="s">
        <v>381</v>
      </c>
      <c r="G49" s="55" t="s">
        <v>23</v>
      </c>
      <c r="H49" s="15"/>
      <c r="I49" s="15"/>
      <c r="J49" s="15">
        <f t="shared" si="0"/>
        <v>0</v>
      </c>
    </row>
    <row r="50" spans="1:10">
      <c r="A50" s="76"/>
      <c r="B50" s="76"/>
      <c r="C50" s="67"/>
      <c r="D50" s="55" t="s">
        <v>20</v>
      </c>
      <c r="E50" s="13" t="s">
        <v>268</v>
      </c>
      <c r="F50" s="13" t="s">
        <v>382</v>
      </c>
      <c r="G50" s="55" t="s">
        <v>23</v>
      </c>
      <c r="H50" s="15"/>
      <c r="I50" s="15"/>
      <c r="J50" s="15">
        <f t="shared" si="0"/>
        <v>0</v>
      </c>
    </row>
    <row r="51" spans="1:10">
      <c r="A51" s="76"/>
      <c r="B51" s="76"/>
      <c r="C51" s="67"/>
      <c r="D51" s="55" t="s">
        <v>20</v>
      </c>
      <c r="E51" s="13" t="s">
        <v>268</v>
      </c>
      <c r="F51" s="13" t="s">
        <v>383</v>
      </c>
      <c r="G51" s="55" t="s">
        <v>23</v>
      </c>
      <c r="H51" s="15"/>
      <c r="I51" s="15"/>
      <c r="J51" s="15">
        <f t="shared" si="0"/>
        <v>0</v>
      </c>
    </row>
    <row r="52" spans="1:10">
      <c r="A52" s="76"/>
      <c r="B52" s="76"/>
      <c r="C52" s="67"/>
      <c r="D52" s="55" t="s">
        <v>20</v>
      </c>
      <c r="E52" s="13" t="s">
        <v>268</v>
      </c>
      <c r="F52" s="13" t="s">
        <v>384</v>
      </c>
      <c r="G52" s="55" t="s">
        <v>23</v>
      </c>
      <c r="H52" s="15"/>
      <c r="I52" s="15"/>
      <c r="J52" s="15">
        <f t="shared" si="0"/>
        <v>0</v>
      </c>
    </row>
    <row r="53" spans="1:10">
      <c r="A53" s="76"/>
      <c r="B53" s="76"/>
      <c r="C53" s="67"/>
      <c r="D53" s="55" t="s">
        <v>20</v>
      </c>
      <c r="E53" s="13" t="s">
        <v>268</v>
      </c>
      <c r="F53" s="13" t="s">
        <v>385</v>
      </c>
      <c r="G53" s="55" t="s">
        <v>23</v>
      </c>
      <c r="H53" s="15"/>
      <c r="I53" s="15"/>
      <c r="J53" s="15">
        <f t="shared" si="0"/>
        <v>0</v>
      </c>
    </row>
    <row r="54" spans="1:10">
      <c r="A54" s="76"/>
      <c r="B54" s="76"/>
      <c r="C54" s="67"/>
      <c r="D54" s="55" t="s">
        <v>20</v>
      </c>
      <c r="E54" s="13" t="s">
        <v>268</v>
      </c>
      <c r="F54" s="13" t="s">
        <v>386</v>
      </c>
      <c r="G54" s="55" t="s">
        <v>23</v>
      </c>
      <c r="H54" s="15"/>
      <c r="I54" s="15"/>
      <c r="J54" s="15">
        <f t="shared" si="0"/>
        <v>0</v>
      </c>
    </row>
    <row r="55" spans="1:10">
      <c r="A55" s="76"/>
      <c r="B55" s="76"/>
      <c r="C55" s="67"/>
      <c r="D55" s="55" t="s">
        <v>20</v>
      </c>
      <c r="E55" s="13" t="s">
        <v>268</v>
      </c>
      <c r="F55" s="13" t="s">
        <v>387</v>
      </c>
      <c r="G55" s="55" t="s">
        <v>23</v>
      </c>
      <c r="H55" s="15"/>
      <c r="I55" s="15"/>
      <c r="J55" s="15">
        <f t="shared" si="0"/>
        <v>0</v>
      </c>
    </row>
    <row r="56" spans="1:10">
      <c r="A56" s="76"/>
      <c r="B56" s="76"/>
      <c r="C56" s="67"/>
      <c r="D56" s="55" t="s">
        <v>20</v>
      </c>
      <c r="E56" s="13" t="s">
        <v>268</v>
      </c>
      <c r="F56" s="13" t="s">
        <v>388</v>
      </c>
      <c r="G56" s="55" t="s">
        <v>49</v>
      </c>
      <c r="H56" s="15"/>
      <c r="I56" s="15"/>
      <c r="J56" s="15">
        <f t="shared" si="0"/>
        <v>0</v>
      </c>
    </row>
    <row r="57" spans="1:10">
      <c r="A57" s="76"/>
      <c r="B57" s="76"/>
      <c r="C57" s="67"/>
      <c r="D57" s="55" t="s">
        <v>20</v>
      </c>
      <c r="E57" s="13" t="s">
        <v>268</v>
      </c>
      <c r="F57" s="13" t="s">
        <v>389</v>
      </c>
      <c r="G57" s="55" t="s">
        <v>270</v>
      </c>
      <c r="H57" s="15"/>
      <c r="I57" s="15"/>
      <c r="J57" s="15">
        <f t="shared" si="0"/>
        <v>0</v>
      </c>
    </row>
    <row r="58" spans="1:10">
      <c r="A58" s="76"/>
      <c r="B58" s="76"/>
      <c r="C58" s="67"/>
      <c r="D58" s="55" t="s">
        <v>20</v>
      </c>
      <c r="E58" s="13" t="s">
        <v>268</v>
      </c>
      <c r="F58" s="13" t="s">
        <v>390</v>
      </c>
      <c r="G58" s="55" t="s">
        <v>270</v>
      </c>
      <c r="H58" s="15"/>
      <c r="I58" s="15"/>
      <c r="J58" s="15">
        <f t="shared" si="0"/>
        <v>0</v>
      </c>
    </row>
    <row r="59" spans="1:10">
      <c r="A59" s="76"/>
      <c r="B59" s="76"/>
      <c r="C59" s="67"/>
      <c r="D59" s="55" t="s">
        <v>20</v>
      </c>
      <c r="E59" s="13" t="s">
        <v>268</v>
      </c>
      <c r="F59" s="13" t="s">
        <v>391</v>
      </c>
      <c r="G59" s="55" t="s">
        <v>23</v>
      </c>
      <c r="H59" s="15"/>
      <c r="I59" s="15"/>
      <c r="J59" s="15">
        <f t="shared" si="0"/>
        <v>0</v>
      </c>
    </row>
    <row r="60" ht="43.2" spans="1:10">
      <c r="A60" s="76"/>
      <c r="B60" s="76"/>
      <c r="C60" s="67"/>
      <c r="D60" s="55" t="s">
        <v>20</v>
      </c>
      <c r="E60" s="13" t="s">
        <v>268</v>
      </c>
      <c r="F60" s="13" t="s">
        <v>392</v>
      </c>
      <c r="G60" s="55" t="s">
        <v>23</v>
      </c>
      <c r="H60" s="15"/>
      <c r="I60" s="15"/>
      <c r="J60" s="15">
        <f t="shared" si="0"/>
        <v>0</v>
      </c>
    </row>
    <row r="61" ht="43.2" spans="1:10">
      <c r="A61" s="76"/>
      <c r="B61" s="76"/>
      <c r="C61" s="67"/>
      <c r="D61" s="55" t="s">
        <v>20</v>
      </c>
      <c r="E61" s="13" t="s">
        <v>268</v>
      </c>
      <c r="F61" s="13" t="s">
        <v>393</v>
      </c>
      <c r="G61" s="55" t="s">
        <v>23</v>
      </c>
      <c r="H61" s="15"/>
      <c r="I61" s="15"/>
      <c r="J61" s="15">
        <f t="shared" si="0"/>
        <v>0</v>
      </c>
    </row>
    <row r="62" ht="43.2" spans="1:10">
      <c r="A62" s="76"/>
      <c r="B62" s="76"/>
      <c r="C62" s="67"/>
      <c r="D62" s="55" t="s">
        <v>20</v>
      </c>
      <c r="E62" s="13" t="s">
        <v>268</v>
      </c>
      <c r="F62" s="13" t="s">
        <v>394</v>
      </c>
      <c r="G62" s="55" t="s">
        <v>23</v>
      </c>
      <c r="H62" s="15"/>
      <c r="I62" s="15"/>
      <c r="J62" s="15">
        <f t="shared" si="0"/>
        <v>0</v>
      </c>
    </row>
    <row r="63" spans="1:10">
      <c r="A63" s="76"/>
      <c r="B63" s="76"/>
      <c r="C63" s="67"/>
      <c r="D63" s="55" t="s">
        <v>20</v>
      </c>
      <c r="E63" s="13" t="s">
        <v>268</v>
      </c>
      <c r="F63" s="13" t="s">
        <v>395</v>
      </c>
      <c r="G63" s="55" t="s">
        <v>270</v>
      </c>
      <c r="H63" s="15"/>
      <c r="I63" s="15"/>
      <c r="J63" s="15">
        <f t="shared" si="0"/>
        <v>0</v>
      </c>
    </row>
    <row r="64" spans="1:10">
      <c r="A64" s="76"/>
      <c r="B64" s="76"/>
      <c r="C64" s="67"/>
      <c r="D64" s="55" t="s">
        <v>20</v>
      </c>
      <c r="E64" s="13" t="s">
        <v>268</v>
      </c>
      <c r="F64" s="13" t="s">
        <v>396</v>
      </c>
      <c r="G64" s="55" t="s">
        <v>23</v>
      </c>
      <c r="H64" s="15"/>
      <c r="I64" s="15"/>
      <c r="J64" s="15">
        <f t="shared" si="0"/>
        <v>0</v>
      </c>
    </row>
    <row r="65" spans="1:10">
      <c r="A65" s="76"/>
      <c r="B65" s="76"/>
      <c r="C65" s="67"/>
      <c r="D65" s="55" t="s">
        <v>20</v>
      </c>
      <c r="E65" s="13" t="s">
        <v>114</v>
      </c>
      <c r="F65" s="13" t="s">
        <v>397</v>
      </c>
      <c r="G65" s="55" t="s">
        <v>49</v>
      </c>
      <c r="H65" s="15"/>
      <c r="I65" s="15"/>
      <c r="J65" s="15">
        <f t="shared" si="0"/>
        <v>0</v>
      </c>
    </row>
    <row r="66" spans="1:10">
      <c r="A66" s="76"/>
      <c r="B66" s="76"/>
      <c r="C66" s="68"/>
      <c r="D66" s="55" t="s">
        <v>20</v>
      </c>
      <c r="E66" s="13" t="s">
        <v>114</v>
      </c>
      <c r="F66" s="13" t="s">
        <v>398</v>
      </c>
      <c r="G66" s="55" t="s">
        <v>49</v>
      </c>
      <c r="H66" s="15"/>
      <c r="I66" s="15"/>
      <c r="J66" s="15">
        <f t="shared" si="0"/>
        <v>0</v>
      </c>
    </row>
    <row r="67" spans="1:10">
      <c r="A67" s="76"/>
      <c r="B67" s="76"/>
      <c r="C67" s="65" t="s">
        <v>400</v>
      </c>
      <c r="D67" s="55" t="s">
        <v>20</v>
      </c>
      <c r="E67" s="13" t="s">
        <v>401</v>
      </c>
      <c r="F67" s="13" t="s">
        <v>402</v>
      </c>
      <c r="G67" s="55" t="s">
        <v>23</v>
      </c>
      <c r="H67" s="15"/>
      <c r="I67" s="15"/>
      <c r="J67" s="15">
        <f t="shared" si="0"/>
        <v>0</v>
      </c>
    </row>
    <row r="68" spans="1:10">
      <c r="A68" s="76"/>
      <c r="B68" s="76"/>
      <c r="C68" s="67"/>
      <c r="D68" s="55" t="s">
        <v>20</v>
      </c>
      <c r="E68" s="13" t="s">
        <v>401</v>
      </c>
      <c r="F68" s="13" t="s">
        <v>403</v>
      </c>
      <c r="G68" s="55" t="s">
        <v>23</v>
      </c>
      <c r="H68" s="15"/>
      <c r="I68" s="15"/>
      <c r="J68" s="15">
        <f t="shared" si="0"/>
        <v>0</v>
      </c>
    </row>
    <row r="69" s="71" customFormat="1" spans="1:10">
      <c r="A69" s="77"/>
      <c r="B69" s="77"/>
      <c r="C69" s="68"/>
      <c r="D69" s="78" t="s">
        <v>11</v>
      </c>
      <c r="E69" s="78" t="s">
        <v>12</v>
      </c>
      <c r="F69" s="79" t="s">
        <v>13</v>
      </c>
      <c r="G69" s="80" t="s">
        <v>14</v>
      </c>
      <c r="H69" s="81"/>
      <c r="I69" s="81"/>
      <c r="J69" s="81">
        <f>+ROUND(PRODUCT(H69*I69),0)</f>
        <v>0</v>
      </c>
    </row>
  </sheetData>
  <mergeCells count="6">
    <mergeCell ref="A1:J1"/>
    <mergeCell ref="A2:J2"/>
    <mergeCell ref="A4:A69"/>
    <mergeCell ref="B4:B69"/>
    <mergeCell ref="C4:C66"/>
    <mergeCell ref="C67:C69"/>
  </mergeCells>
  <pageMargins left="0.7" right="0.7" top="0.75" bottom="0.75" header="0.3" footer="0.3"/>
  <pageSetup paperSize="1" scale="4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16"/>
  <sheetViews>
    <sheetView view="pageBreakPreview" zoomScaleNormal="85" workbookViewId="0">
      <selection activeCell="F13" sqref="F13"/>
    </sheetView>
  </sheetViews>
  <sheetFormatPr defaultColWidth="26.8888888888889" defaultRowHeight="14.4"/>
  <cols>
    <col min="1" max="1" width="8.88888888888889" customWidth="1"/>
    <col min="2" max="2" width="18.6944444444444" customWidth="1"/>
    <col min="3" max="3" width="22.7777777777778" style="1" customWidth="1"/>
    <col min="4" max="4" width="14.75" style="26" customWidth="1"/>
    <col min="5" max="5" width="20.9166666666667" style="2" customWidth="1"/>
    <col min="6" max="6" width="42.6111111111111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1109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7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>
      <c r="A4" s="61">
        <v>3</v>
      </c>
      <c r="B4" s="61" t="s">
        <v>1110</v>
      </c>
      <c r="C4" s="65" t="s">
        <v>408</v>
      </c>
      <c r="D4" s="55" t="s">
        <v>20</v>
      </c>
      <c r="E4" s="14" t="s">
        <v>21</v>
      </c>
      <c r="F4" s="13" t="s">
        <v>409</v>
      </c>
      <c r="G4" s="12" t="s">
        <v>144</v>
      </c>
      <c r="H4" s="15"/>
      <c r="I4" s="15"/>
      <c r="J4" s="15">
        <f t="shared" ref="J4:J16" si="0">+ROUND(PRODUCT(H4*I4),0)</f>
        <v>0</v>
      </c>
    </row>
    <row r="5" spans="1:10">
      <c r="A5" s="62"/>
      <c r="B5" s="62"/>
      <c r="C5" s="67"/>
      <c r="D5" s="55" t="s">
        <v>20</v>
      </c>
      <c r="E5" s="14" t="s">
        <v>21</v>
      </c>
      <c r="F5" s="13" t="s">
        <v>410</v>
      </c>
      <c r="G5" s="12" t="s">
        <v>144</v>
      </c>
      <c r="H5" s="15"/>
      <c r="I5" s="15"/>
      <c r="J5" s="15">
        <f t="shared" si="0"/>
        <v>0</v>
      </c>
    </row>
    <row r="6" spans="1:10">
      <c r="A6" s="62"/>
      <c r="B6" s="62"/>
      <c r="C6" s="67"/>
      <c r="D6" s="55" t="s">
        <v>20</v>
      </c>
      <c r="E6" s="14" t="s">
        <v>21</v>
      </c>
      <c r="F6" s="13" t="s">
        <v>411</v>
      </c>
      <c r="G6" s="12" t="s">
        <v>23</v>
      </c>
      <c r="H6" s="15"/>
      <c r="I6" s="15"/>
      <c r="J6" s="15">
        <f t="shared" si="0"/>
        <v>0</v>
      </c>
    </row>
    <row r="7" spans="1:10">
      <c r="A7" s="62"/>
      <c r="B7" s="62"/>
      <c r="C7" s="67"/>
      <c r="D7" s="55" t="s">
        <v>20</v>
      </c>
      <c r="E7" s="14" t="s">
        <v>61</v>
      </c>
      <c r="F7" s="13" t="s">
        <v>412</v>
      </c>
      <c r="G7" s="12" t="s">
        <v>23</v>
      </c>
      <c r="H7" s="15"/>
      <c r="I7" s="15"/>
      <c r="J7" s="15">
        <f t="shared" si="0"/>
        <v>0</v>
      </c>
    </row>
    <row r="8" spans="1:10">
      <c r="A8" s="62"/>
      <c r="B8" s="62"/>
      <c r="C8" s="67"/>
      <c r="D8" s="55" t="s">
        <v>20</v>
      </c>
      <c r="E8" s="14" t="s">
        <v>61</v>
      </c>
      <c r="F8" s="13" t="s">
        <v>413</v>
      </c>
      <c r="G8" s="12" t="s">
        <v>23</v>
      </c>
      <c r="H8" s="15"/>
      <c r="I8" s="15"/>
      <c r="J8" s="15">
        <f t="shared" si="0"/>
        <v>0</v>
      </c>
    </row>
    <row r="9" spans="1:10">
      <c r="A9" s="62"/>
      <c r="B9" s="62"/>
      <c r="C9" s="67"/>
      <c r="D9" s="55" t="s">
        <v>20</v>
      </c>
      <c r="E9" s="14" t="s">
        <v>61</v>
      </c>
      <c r="F9" s="13" t="s">
        <v>414</v>
      </c>
      <c r="G9" s="12" t="s">
        <v>23</v>
      </c>
      <c r="H9" s="15"/>
      <c r="I9" s="15"/>
      <c r="J9" s="15">
        <f t="shared" si="0"/>
        <v>0</v>
      </c>
    </row>
    <row r="10" spans="1:10">
      <c r="A10" s="62"/>
      <c r="B10" s="62"/>
      <c r="C10" s="68"/>
      <c r="D10" s="55" t="s">
        <v>20</v>
      </c>
      <c r="E10" s="14" t="s">
        <v>415</v>
      </c>
      <c r="F10" s="13" t="s">
        <v>416</v>
      </c>
      <c r="G10" s="12" t="s">
        <v>63</v>
      </c>
      <c r="H10" s="15"/>
      <c r="I10" s="15"/>
      <c r="J10" s="15">
        <f t="shared" si="0"/>
        <v>0</v>
      </c>
    </row>
    <row r="11" spans="1:10">
      <c r="A11" s="62"/>
      <c r="B11" s="62"/>
      <c r="C11" s="65" t="s">
        <v>497</v>
      </c>
      <c r="D11" s="55" t="s">
        <v>35</v>
      </c>
      <c r="E11" s="14" t="s">
        <v>36</v>
      </c>
      <c r="F11" s="13" t="s">
        <v>499</v>
      </c>
      <c r="G11" s="12" t="s">
        <v>14</v>
      </c>
      <c r="H11" s="15"/>
      <c r="I11" s="15"/>
      <c r="J11" s="15">
        <f t="shared" si="0"/>
        <v>0</v>
      </c>
    </row>
    <row r="12" spans="1:10">
      <c r="A12" s="62"/>
      <c r="B12" s="62"/>
      <c r="C12" s="67"/>
      <c r="D12" s="55" t="s">
        <v>35</v>
      </c>
      <c r="E12" s="14" t="s">
        <v>36</v>
      </c>
      <c r="F12" s="13" t="s">
        <v>500</v>
      </c>
      <c r="G12" s="12" t="s">
        <v>38</v>
      </c>
      <c r="H12" s="15"/>
      <c r="I12" s="15"/>
      <c r="J12" s="15">
        <f t="shared" si="0"/>
        <v>0</v>
      </c>
    </row>
    <row r="13" spans="1:10">
      <c r="A13" s="62"/>
      <c r="B13" s="62"/>
      <c r="C13" s="68"/>
      <c r="D13" s="55" t="s">
        <v>35</v>
      </c>
      <c r="E13" s="14" t="s">
        <v>36</v>
      </c>
      <c r="F13" s="13" t="s">
        <v>504</v>
      </c>
      <c r="G13" s="12" t="s">
        <v>38</v>
      </c>
      <c r="H13" s="15"/>
      <c r="I13" s="15"/>
      <c r="J13" s="15">
        <f t="shared" si="0"/>
        <v>0</v>
      </c>
    </row>
    <row r="14" spans="1:10">
      <c r="A14" s="62"/>
      <c r="B14" s="62"/>
      <c r="C14" s="65" t="s">
        <v>587</v>
      </c>
      <c r="D14" s="55" t="s">
        <v>35</v>
      </c>
      <c r="E14" s="14" t="s">
        <v>36</v>
      </c>
      <c r="F14" s="13" t="s">
        <v>499</v>
      </c>
      <c r="G14" s="12" t="s">
        <v>14</v>
      </c>
      <c r="H14" s="15"/>
      <c r="I14" s="15"/>
      <c r="J14" s="15">
        <f t="shared" si="0"/>
        <v>0</v>
      </c>
    </row>
    <row r="15" spans="1:10">
      <c r="A15" s="62"/>
      <c r="B15" s="62"/>
      <c r="C15" s="68"/>
      <c r="D15" s="55" t="s">
        <v>11</v>
      </c>
      <c r="E15" s="14" t="s">
        <v>40</v>
      </c>
      <c r="F15" s="13" t="s">
        <v>588</v>
      </c>
      <c r="G15" s="12" t="s">
        <v>589</v>
      </c>
      <c r="H15" s="15"/>
      <c r="I15" s="15"/>
      <c r="J15" s="15">
        <f t="shared" si="0"/>
        <v>0</v>
      </c>
    </row>
    <row r="16" spans="1:10">
      <c r="A16" s="63"/>
      <c r="B16" s="63"/>
      <c r="C16" s="13" t="s">
        <v>406</v>
      </c>
      <c r="D16" s="55" t="s">
        <v>11</v>
      </c>
      <c r="E16" s="14" t="s">
        <v>12</v>
      </c>
      <c r="F16" s="13" t="s">
        <v>13</v>
      </c>
      <c r="G16" s="12" t="s">
        <v>14</v>
      </c>
      <c r="H16" s="15"/>
      <c r="I16" s="15"/>
      <c r="J16" s="15">
        <f t="shared" si="0"/>
        <v>0</v>
      </c>
    </row>
  </sheetData>
  <mergeCells count="7">
    <mergeCell ref="A1:J1"/>
    <mergeCell ref="A2:J2"/>
    <mergeCell ref="A4:A16"/>
    <mergeCell ref="B4:B16"/>
    <mergeCell ref="C4:C10"/>
    <mergeCell ref="C11:C13"/>
    <mergeCell ref="C14:C15"/>
  </mergeCells>
  <pageMargins left="0.7" right="0.7" top="0.75" bottom="0.75" header="0.3" footer="0.3"/>
  <pageSetup paperSize="1" scale="4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4"/>
  <sheetViews>
    <sheetView view="pageBreakPreview" zoomScaleNormal="55" workbookViewId="0">
      <selection activeCell="A1" sqref="A1:J1"/>
    </sheetView>
  </sheetViews>
  <sheetFormatPr defaultColWidth="26.8888888888889" defaultRowHeight="14.4" outlineLevelRow="3"/>
  <cols>
    <col min="1" max="1" width="8.88888888888889" customWidth="1"/>
    <col min="2" max="2" width="20.6666666666667" customWidth="1"/>
    <col min="3" max="3" width="25.8888888888889" style="1" customWidth="1"/>
    <col min="4" max="4" width="14.75" style="26" customWidth="1"/>
    <col min="5" max="5" width="27.2222222222222" style="2" customWidth="1"/>
    <col min="6" max="6" width="35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1111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ht="39" customHeight="1" spans="1:10">
      <c r="A4" s="61">
        <v>4</v>
      </c>
      <c r="B4" s="61" t="s">
        <v>1111</v>
      </c>
      <c r="C4" s="69" t="s">
        <v>585</v>
      </c>
      <c r="D4" s="55" t="s">
        <v>11</v>
      </c>
      <c r="E4" s="14" t="s">
        <v>12</v>
      </c>
      <c r="F4" s="13" t="s">
        <v>13</v>
      </c>
      <c r="G4" s="55" t="s">
        <v>14</v>
      </c>
      <c r="H4" s="15"/>
      <c r="I4" s="15"/>
      <c r="J4" s="70">
        <f>+ROUND(PRODUCT(H4*I4),0)</f>
        <v>0</v>
      </c>
    </row>
  </sheetData>
  <mergeCells count="2">
    <mergeCell ref="A1:J1"/>
    <mergeCell ref="A2:J2"/>
  </mergeCells>
  <pageMargins left="0.7" right="0.7" top="0.75" bottom="0.75" header="0.3" footer="0.3"/>
  <pageSetup paperSize="1" scale="4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29"/>
  <sheetViews>
    <sheetView view="pageBreakPreview" zoomScaleNormal="100" workbookViewId="0">
      <selection activeCell="F4" sqref="F4"/>
    </sheetView>
  </sheetViews>
  <sheetFormatPr defaultColWidth="26.8888888888889" defaultRowHeight="14.4"/>
  <cols>
    <col min="1" max="1" width="8.88888888888889" customWidth="1"/>
    <col min="2" max="2" width="19.3333333333333" customWidth="1"/>
    <col min="3" max="3" width="18.3333333333333" style="1" customWidth="1"/>
    <col min="4" max="4" width="14.75" style="2" customWidth="1"/>
    <col min="5" max="5" width="29.0462962962963" style="2" customWidth="1"/>
    <col min="6" max="6" width="41.8888888888889" style="1" customWidth="1"/>
    <col min="7" max="7" width="11.3333333333333" style="64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1112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7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>
      <c r="A4" s="61">
        <v>5</v>
      </c>
      <c r="B4" s="61" t="s">
        <v>1113</v>
      </c>
      <c r="C4" s="65" t="s">
        <v>418</v>
      </c>
      <c r="D4" s="14" t="s">
        <v>11</v>
      </c>
      <c r="E4" s="14" t="s">
        <v>12</v>
      </c>
      <c r="F4" s="13" t="s">
        <v>13</v>
      </c>
      <c r="G4" s="66" t="s">
        <v>14</v>
      </c>
      <c r="H4" s="15"/>
      <c r="I4" s="15"/>
      <c r="J4" s="15">
        <f t="shared" ref="J4:J58" si="0">+ROUND(PRODUCT(H4*I4),0)</f>
        <v>0</v>
      </c>
    </row>
    <row r="5" spans="1:10">
      <c r="A5" s="62">
        <f t="shared" ref="A5:A29" si="1">1+A4</f>
        <v>6</v>
      </c>
      <c r="B5" s="62"/>
      <c r="C5" s="67"/>
      <c r="D5" s="14" t="s">
        <v>11</v>
      </c>
      <c r="E5" s="14" t="s">
        <v>12</v>
      </c>
      <c r="F5" s="13" t="s">
        <v>15</v>
      </c>
      <c r="G5" s="66" t="s">
        <v>14</v>
      </c>
      <c r="H5" s="15"/>
      <c r="I5" s="15"/>
      <c r="J5" s="15">
        <f t="shared" si="0"/>
        <v>0</v>
      </c>
    </row>
    <row r="6" spans="1:10">
      <c r="A6" s="62">
        <f t="shared" si="1"/>
        <v>7</v>
      </c>
      <c r="B6" s="62"/>
      <c r="C6" s="67"/>
      <c r="D6" s="14" t="s">
        <v>20</v>
      </c>
      <c r="E6" s="14" t="s">
        <v>61</v>
      </c>
      <c r="F6" s="13" t="s">
        <v>419</v>
      </c>
      <c r="G6" s="66" t="s">
        <v>23</v>
      </c>
      <c r="H6" s="15"/>
      <c r="I6" s="15"/>
      <c r="J6" s="15">
        <f t="shared" si="0"/>
        <v>0</v>
      </c>
    </row>
    <row r="7" spans="1:10">
      <c r="A7" s="62">
        <f t="shared" si="1"/>
        <v>8</v>
      </c>
      <c r="B7" s="62"/>
      <c r="C7" s="67"/>
      <c r="D7" s="14" t="s">
        <v>20</v>
      </c>
      <c r="E7" s="14" t="s">
        <v>420</v>
      </c>
      <c r="F7" s="13" t="s">
        <v>421</v>
      </c>
      <c r="G7" s="66" t="s">
        <v>144</v>
      </c>
      <c r="H7" s="15"/>
      <c r="I7" s="15"/>
      <c r="J7" s="15">
        <f t="shared" si="0"/>
        <v>0</v>
      </c>
    </row>
    <row r="8" spans="1:10">
      <c r="A8" s="62">
        <f t="shared" si="1"/>
        <v>9</v>
      </c>
      <c r="B8" s="62"/>
      <c r="C8" s="67"/>
      <c r="D8" s="14" t="s">
        <v>20</v>
      </c>
      <c r="E8" s="14" t="s">
        <v>420</v>
      </c>
      <c r="F8" s="13" t="s">
        <v>422</v>
      </c>
      <c r="G8" s="66" t="s">
        <v>23</v>
      </c>
      <c r="H8" s="15"/>
      <c r="I8" s="15"/>
      <c r="J8" s="15">
        <f t="shared" si="0"/>
        <v>0</v>
      </c>
    </row>
    <row r="9" spans="1:10">
      <c r="A9" s="62">
        <f t="shared" si="1"/>
        <v>10</v>
      </c>
      <c r="B9" s="62"/>
      <c r="C9" s="67"/>
      <c r="D9" s="14" t="s">
        <v>20</v>
      </c>
      <c r="E9" s="14" t="s">
        <v>420</v>
      </c>
      <c r="F9" s="13" t="s">
        <v>423</v>
      </c>
      <c r="G9" s="66" t="s">
        <v>23</v>
      </c>
      <c r="H9" s="15"/>
      <c r="I9" s="15"/>
      <c r="J9" s="15">
        <f t="shared" si="0"/>
        <v>0</v>
      </c>
    </row>
    <row r="10" spans="1:10">
      <c r="A10" s="62">
        <f t="shared" si="1"/>
        <v>11</v>
      </c>
      <c r="B10" s="62"/>
      <c r="C10" s="67"/>
      <c r="D10" s="14" t="s">
        <v>20</v>
      </c>
      <c r="E10" s="14" t="s">
        <v>420</v>
      </c>
      <c r="F10" s="13" t="s">
        <v>424</v>
      </c>
      <c r="G10" s="66" t="s">
        <v>23</v>
      </c>
      <c r="H10" s="15"/>
      <c r="I10" s="15"/>
      <c r="J10" s="15">
        <f t="shared" si="0"/>
        <v>0</v>
      </c>
    </row>
    <row r="11" spans="1:10">
      <c r="A11" s="62">
        <f t="shared" si="1"/>
        <v>12</v>
      </c>
      <c r="B11" s="62"/>
      <c r="C11" s="67"/>
      <c r="D11" s="14" t="s">
        <v>20</v>
      </c>
      <c r="E11" s="14" t="s">
        <v>420</v>
      </c>
      <c r="F11" s="13" t="s">
        <v>425</v>
      </c>
      <c r="G11" s="66" t="s">
        <v>23</v>
      </c>
      <c r="H11" s="15"/>
      <c r="I11" s="15"/>
      <c r="J11" s="15">
        <f t="shared" si="0"/>
        <v>0</v>
      </c>
    </row>
    <row r="12" spans="1:10">
      <c r="A12" s="62">
        <f t="shared" si="1"/>
        <v>13</v>
      </c>
      <c r="B12" s="62"/>
      <c r="C12" s="67"/>
      <c r="D12" s="14" t="s">
        <v>20</v>
      </c>
      <c r="E12" s="14" t="s">
        <v>420</v>
      </c>
      <c r="F12" s="13" t="s">
        <v>426</v>
      </c>
      <c r="G12" s="66" t="s">
        <v>23</v>
      </c>
      <c r="H12" s="15"/>
      <c r="I12" s="15"/>
      <c r="J12" s="15">
        <f t="shared" si="0"/>
        <v>0</v>
      </c>
    </row>
    <row r="13" spans="1:10">
      <c r="A13" s="62">
        <f t="shared" si="1"/>
        <v>14</v>
      </c>
      <c r="B13" s="62"/>
      <c r="C13" s="67"/>
      <c r="D13" s="14" t="s">
        <v>20</v>
      </c>
      <c r="E13" s="14" t="s">
        <v>420</v>
      </c>
      <c r="F13" s="13" t="s">
        <v>427</v>
      </c>
      <c r="G13" s="66" t="s">
        <v>23</v>
      </c>
      <c r="H13" s="15"/>
      <c r="I13" s="15"/>
      <c r="J13" s="15">
        <f t="shared" si="0"/>
        <v>0</v>
      </c>
    </row>
    <row r="14" spans="1:10">
      <c r="A14" s="62">
        <f t="shared" si="1"/>
        <v>15</v>
      </c>
      <c r="B14" s="62"/>
      <c r="C14" s="67"/>
      <c r="D14" s="14" t="s">
        <v>20</v>
      </c>
      <c r="E14" s="14" t="s">
        <v>420</v>
      </c>
      <c r="F14" s="13" t="s">
        <v>428</v>
      </c>
      <c r="G14" s="66" t="s">
        <v>23</v>
      </c>
      <c r="H14" s="15"/>
      <c r="I14" s="15"/>
      <c r="J14" s="15">
        <f t="shared" si="0"/>
        <v>0</v>
      </c>
    </row>
    <row r="15" spans="1:10">
      <c r="A15" s="62">
        <f t="shared" si="1"/>
        <v>16</v>
      </c>
      <c r="B15" s="62"/>
      <c r="C15" s="67"/>
      <c r="D15" s="14" t="s">
        <v>20</v>
      </c>
      <c r="E15" s="14" t="s">
        <v>420</v>
      </c>
      <c r="F15" s="13" t="s">
        <v>429</v>
      </c>
      <c r="G15" s="66" t="s">
        <v>23</v>
      </c>
      <c r="H15" s="15"/>
      <c r="I15" s="15"/>
      <c r="J15" s="15">
        <f t="shared" si="0"/>
        <v>0</v>
      </c>
    </row>
    <row r="16" spans="1:10">
      <c r="A16" s="62">
        <f t="shared" si="1"/>
        <v>17</v>
      </c>
      <c r="B16" s="62"/>
      <c r="C16" s="67"/>
      <c r="D16" s="14" t="s">
        <v>20</v>
      </c>
      <c r="E16" s="14" t="s">
        <v>420</v>
      </c>
      <c r="F16" s="13" t="s">
        <v>430</v>
      </c>
      <c r="G16" s="66" t="s">
        <v>23</v>
      </c>
      <c r="H16" s="15"/>
      <c r="I16" s="15"/>
      <c r="J16" s="15">
        <f t="shared" si="0"/>
        <v>0</v>
      </c>
    </row>
    <row r="17" spans="1:10">
      <c r="A17" s="62">
        <f t="shared" si="1"/>
        <v>18</v>
      </c>
      <c r="B17" s="62"/>
      <c r="C17" s="67"/>
      <c r="D17" s="14" t="s">
        <v>20</v>
      </c>
      <c r="E17" s="14" t="s">
        <v>420</v>
      </c>
      <c r="F17" s="13" t="s">
        <v>431</v>
      </c>
      <c r="G17" s="66" t="s">
        <v>23</v>
      </c>
      <c r="H17" s="15"/>
      <c r="I17" s="15"/>
      <c r="J17" s="15">
        <f t="shared" si="0"/>
        <v>0</v>
      </c>
    </row>
    <row r="18" spans="1:10">
      <c r="A18" s="62">
        <f t="shared" si="1"/>
        <v>19</v>
      </c>
      <c r="B18" s="62"/>
      <c r="C18" s="67"/>
      <c r="D18" s="14" t="s">
        <v>20</v>
      </c>
      <c r="E18" s="14" t="s">
        <v>420</v>
      </c>
      <c r="F18" s="13" t="s">
        <v>432</v>
      </c>
      <c r="G18" s="66" t="s">
        <v>23</v>
      </c>
      <c r="H18" s="15"/>
      <c r="I18" s="15"/>
      <c r="J18" s="15">
        <f t="shared" si="0"/>
        <v>0</v>
      </c>
    </row>
    <row r="19" spans="1:10">
      <c r="A19" s="62">
        <f t="shared" si="1"/>
        <v>20</v>
      </c>
      <c r="B19" s="62"/>
      <c r="C19" s="67"/>
      <c r="D19" s="14" t="s">
        <v>20</v>
      </c>
      <c r="E19" s="14" t="s">
        <v>420</v>
      </c>
      <c r="F19" s="13" t="s">
        <v>433</v>
      </c>
      <c r="G19" s="66" t="s">
        <v>23</v>
      </c>
      <c r="H19" s="15"/>
      <c r="I19" s="15"/>
      <c r="J19" s="15">
        <f t="shared" si="0"/>
        <v>0</v>
      </c>
    </row>
    <row r="20" spans="1:10">
      <c r="A20" s="62">
        <f t="shared" si="1"/>
        <v>21</v>
      </c>
      <c r="B20" s="62"/>
      <c r="C20" s="67"/>
      <c r="D20" s="14" t="s">
        <v>20</v>
      </c>
      <c r="E20" s="14" t="s">
        <v>420</v>
      </c>
      <c r="F20" s="13" t="s">
        <v>434</v>
      </c>
      <c r="G20" s="66" t="s">
        <v>23</v>
      </c>
      <c r="H20" s="15"/>
      <c r="I20" s="15"/>
      <c r="J20" s="15">
        <f t="shared" si="0"/>
        <v>0</v>
      </c>
    </row>
    <row r="21" spans="1:10">
      <c r="A21" s="62">
        <f t="shared" si="1"/>
        <v>22</v>
      </c>
      <c r="B21" s="62"/>
      <c r="C21" s="67"/>
      <c r="D21" s="14" t="s">
        <v>20</v>
      </c>
      <c r="E21" s="14" t="s">
        <v>420</v>
      </c>
      <c r="F21" s="13" t="s">
        <v>435</v>
      </c>
      <c r="G21" s="66" t="s">
        <v>23</v>
      </c>
      <c r="H21" s="15"/>
      <c r="I21" s="15"/>
      <c r="J21" s="15">
        <f t="shared" si="0"/>
        <v>0</v>
      </c>
    </row>
    <row r="22" spans="1:10">
      <c r="A22" s="62">
        <f t="shared" si="1"/>
        <v>23</v>
      </c>
      <c r="B22" s="62"/>
      <c r="C22" s="67"/>
      <c r="D22" s="14" t="s">
        <v>20</v>
      </c>
      <c r="E22" s="14" t="s">
        <v>420</v>
      </c>
      <c r="F22" s="13" t="s">
        <v>436</v>
      </c>
      <c r="G22" s="66" t="s">
        <v>23</v>
      </c>
      <c r="H22" s="15"/>
      <c r="I22" s="15"/>
      <c r="J22" s="15">
        <f t="shared" si="0"/>
        <v>0</v>
      </c>
    </row>
    <row r="23" spans="1:10">
      <c r="A23" s="62">
        <f t="shared" si="1"/>
        <v>24</v>
      </c>
      <c r="B23" s="62"/>
      <c r="C23" s="67"/>
      <c r="D23" s="14" t="s">
        <v>20</v>
      </c>
      <c r="E23" s="14" t="s">
        <v>420</v>
      </c>
      <c r="F23" s="13" t="s">
        <v>437</v>
      </c>
      <c r="G23" s="66" t="s">
        <v>23</v>
      </c>
      <c r="H23" s="15"/>
      <c r="I23" s="15"/>
      <c r="J23" s="15">
        <f t="shared" si="0"/>
        <v>0</v>
      </c>
    </row>
    <row r="24" spans="1:10">
      <c r="A24" s="62">
        <f t="shared" si="1"/>
        <v>25</v>
      </c>
      <c r="B24" s="62"/>
      <c r="C24" s="67"/>
      <c r="D24" s="14" t="s">
        <v>20</v>
      </c>
      <c r="E24" s="14" t="s">
        <v>420</v>
      </c>
      <c r="F24" s="13" t="s">
        <v>438</v>
      </c>
      <c r="G24" s="66" t="s">
        <v>23</v>
      </c>
      <c r="H24" s="15"/>
      <c r="I24" s="15"/>
      <c r="J24" s="15">
        <f t="shared" si="0"/>
        <v>0</v>
      </c>
    </row>
    <row r="25" ht="28.8" spans="1:10">
      <c r="A25" s="62">
        <f t="shared" si="1"/>
        <v>26</v>
      </c>
      <c r="B25" s="62"/>
      <c r="C25" s="67"/>
      <c r="D25" s="14" t="s">
        <v>20</v>
      </c>
      <c r="E25" s="14" t="s">
        <v>420</v>
      </c>
      <c r="F25" s="13" t="s">
        <v>439</v>
      </c>
      <c r="G25" s="66" t="s">
        <v>23</v>
      </c>
      <c r="H25" s="15"/>
      <c r="I25" s="15"/>
      <c r="J25" s="15">
        <f t="shared" si="0"/>
        <v>0</v>
      </c>
    </row>
    <row r="26" spans="1:10">
      <c r="A26" s="62">
        <f t="shared" si="1"/>
        <v>27</v>
      </c>
      <c r="B26" s="62"/>
      <c r="C26" s="67"/>
      <c r="D26" s="14" t="s">
        <v>20</v>
      </c>
      <c r="E26" s="14" t="s">
        <v>420</v>
      </c>
      <c r="F26" s="13" t="s">
        <v>440</v>
      </c>
      <c r="G26" s="66" t="s">
        <v>23</v>
      </c>
      <c r="H26" s="15"/>
      <c r="I26" s="15"/>
      <c r="J26" s="15">
        <f t="shared" si="0"/>
        <v>0</v>
      </c>
    </row>
    <row r="27" spans="1:10">
      <c r="A27" s="62">
        <f t="shared" si="1"/>
        <v>28</v>
      </c>
      <c r="B27" s="62"/>
      <c r="C27" s="67"/>
      <c r="D27" s="14" t="s">
        <v>20</v>
      </c>
      <c r="E27" s="14" t="s">
        <v>420</v>
      </c>
      <c r="F27" s="13" t="s">
        <v>441</v>
      </c>
      <c r="G27" s="66" t="s">
        <v>23</v>
      </c>
      <c r="H27" s="15"/>
      <c r="I27" s="15"/>
      <c r="J27" s="15">
        <f t="shared" si="0"/>
        <v>0</v>
      </c>
    </row>
    <row r="28" spans="1:10">
      <c r="A28" s="62">
        <f t="shared" si="1"/>
        <v>29</v>
      </c>
      <c r="B28" s="62"/>
      <c r="C28" s="67"/>
      <c r="D28" s="14" t="s">
        <v>20</v>
      </c>
      <c r="E28" s="14" t="s">
        <v>420</v>
      </c>
      <c r="F28" s="13" t="s">
        <v>442</v>
      </c>
      <c r="G28" s="66" t="s">
        <v>23</v>
      </c>
      <c r="H28" s="15"/>
      <c r="I28" s="15"/>
      <c r="J28" s="15">
        <f t="shared" si="0"/>
        <v>0</v>
      </c>
    </row>
    <row r="29" spans="1:10">
      <c r="A29" s="63">
        <f t="shared" si="1"/>
        <v>30</v>
      </c>
      <c r="B29" s="63"/>
      <c r="C29" s="68"/>
      <c r="D29" s="14" t="s">
        <v>20</v>
      </c>
      <c r="E29" s="14" t="s">
        <v>420</v>
      </c>
      <c r="F29" s="13" t="s">
        <v>443</v>
      </c>
      <c r="G29" s="66" t="s">
        <v>23</v>
      </c>
      <c r="H29" s="15"/>
      <c r="I29" s="15"/>
      <c r="J29" s="15">
        <f t="shared" si="0"/>
        <v>0</v>
      </c>
    </row>
  </sheetData>
  <mergeCells count="5">
    <mergeCell ref="A1:J1"/>
    <mergeCell ref="A2:J2"/>
    <mergeCell ref="A4:A29"/>
    <mergeCell ref="B4:B29"/>
    <mergeCell ref="C4:C29"/>
  </mergeCells>
  <pageMargins left="0.7" right="0.7" top="0.75" bottom="0.75" header="0.3" footer="0.3"/>
  <pageSetup paperSize="1" scale="4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31"/>
  <sheetViews>
    <sheetView view="pageBreakPreview" zoomScaleNormal="100" topLeftCell="A8" workbookViewId="0">
      <selection activeCell="F18" sqref="F18"/>
    </sheetView>
  </sheetViews>
  <sheetFormatPr defaultColWidth="26.8888888888889" defaultRowHeight="14.4"/>
  <cols>
    <col min="1" max="1" width="8.88888888888889" customWidth="1"/>
    <col min="2" max="2" width="15.3333333333333" customWidth="1"/>
    <col min="3" max="3" width="22.7777777777778" style="1" customWidth="1"/>
    <col min="4" max="4" width="14.75" style="2" customWidth="1"/>
    <col min="5" max="5" width="29.0462962962963" style="2" customWidth="1"/>
    <col min="6" max="6" width="47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1114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7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>
      <c r="A4" s="61">
        <v>6</v>
      </c>
      <c r="B4" s="61" t="s">
        <v>1115</v>
      </c>
      <c r="C4" s="13" t="s">
        <v>506</v>
      </c>
      <c r="D4" s="14" t="s">
        <v>11</v>
      </c>
      <c r="E4" s="14" t="s">
        <v>40</v>
      </c>
      <c r="F4" s="13" t="s">
        <v>43</v>
      </c>
      <c r="G4" s="12" t="s">
        <v>32</v>
      </c>
      <c r="H4" s="15"/>
      <c r="I4" s="15"/>
      <c r="J4" s="15">
        <f t="shared" ref="J4:J36" si="0">+ROUND(PRODUCT(H4*I4),0)</f>
        <v>0</v>
      </c>
    </row>
    <row r="5" spans="1:10">
      <c r="A5" s="62"/>
      <c r="B5" s="62"/>
      <c r="C5" s="13" t="s">
        <v>506</v>
      </c>
      <c r="D5" s="14" t="s">
        <v>11</v>
      </c>
      <c r="E5" s="14" t="s">
        <v>507</v>
      </c>
      <c r="F5" s="13" t="s">
        <v>508</v>
      </c>
      <c r="G5" s="12" t="s">
        <v>23</v>
      </c>
      <c r="H5" s="15"/>
      <c r="I5" s="15"/>
      <c r="J5" s="15">
        <f t="shared" si="0"/>
        <v>0</v>
      </c>
    </row>
    <row r="6" spans="1:10">
      <c r="A6" s="62"/>
      <c r="B6" s="62"/>
      <c r="C6" s="13" t="s">
        <v>506</v>
      </c>
      <c r="D6" s="14" t="s">
        <v>11</v>
      </c>
      <c r="E6" s="14" t="s">
        <v>507</v>
      </c>
      <c r="F6" s="13" t="s">
        <v>509</v>
      </c>
      <c r="G6" s="12" t="s">
        <v>23</v>
      </c>
      <c r="H6" s="15"/>
      <c r="I6" s="15"/>
      <c r="J6" s="15">
        <f t="shared" si="0"/>
        <v>0</v>
      </c>
    </row>
    <row r="7" spans="1:10">
      <c r="A7" s="62"/>
      <c r="B7" s="62"/>
      <c r="C7" s="13" t="s">
        <v>506</v>
      </c>
      <c r="D7" s="14" t="s">
        <v>11</v>
      </c>
      <c r="E7" s="14" t="s">
        <v>507</v>
      </c>
      <c r="F7" s="13" t="s">
        <v>510</v>
      </c>
      <c r="G7" s="12" t="s">
        <v>23</v>
      </c>
      <c r="H7" s="15"/>
      <c r="I7" s="15"/>
      <c r="J7" s="15">
        <f t="shared" si="0"/>
        <v>0</v>
      </c>
    </row>
    <row r="8" spans="1:10">
      <c r="A8" s="62"/>
      <c r="B8" s="62"/>
      <c r="C8" s="13" t="s">
        <v>506</v>
      </c>
      <c r="D8" s="14" t="s">
        <v>11</v>
      </c>
      <c r="E8" s="14" t="s">
        <v>507</v>
      </c>
      <c r="F8" s="13" t="s">
        <v>511</v>
      </c>
      <c r="G8" s="12" t="s">
        <v>23</v>
      </c>
      <c r="H8" s="15"/>
      <c r="I8" s="15"/>
      <c r="J8" s="15">
        <f t="shared" si="0"/>
        <v>0</v>
      </c>
    </row>
    <row r="9" spans="1:10">
      <c r="A9" s="62"/>
      <c r="B9" s="62"/>
      <c r="C9" s="13" t="s">
        <v>506</v>
      </c>
      <c r="D9" s="14" t="s">
        <v>11</v>
      </c>
      <c r="E9" s="14" t="s">
        <v>507</v>
      </c>
      <c r="F9" s="13" t="s">
        <v>512</v>
      </c>
      <c r="G9" s="12" t="s">
        <v>23</v>
      </c>
      <c r="H9" s="15"/>
      <c r="I9" s="15"/>
      <c r="J9" s="15">
        <f t="shared" si="0"/>
        <v>0</v>
      </c>
    </row>
    <row r="10" spans="1:10">
      <c r="A10" s="62"/>
      <c r="B10" s="62"/>
      <c r="C10" s="13" t="s">
        <v>506</v>
      </c>
      <c r="D10" s="14" t="s">
        <v>11</v>
      </c>
      <c r="E10" s="14" t="s">
        <v>507</v>
      </c>
      <c r="F10" s="13" t="s">
        <v>513</v>
      </c>
      <c r="G10" s="12" t="s">
        <v>23</v>
      </c>
      <c r="H10" s="15"/>
      <c r="I10" s="15"/>
      <c r="J10" s="15">
        <f t="shared" si="0"/>
        <v>0</v>
      </c>
    </row>
    <row r="11" spans="1:10">
      <c r="A11" s="62"/>
      <c r="B11" s="62"/>
      <c r="C11" s="13" t="s">
        <v>506</v>
      </c>
      <c r="D11" s="14" t="s">
        <v>11</v>
      </c>
      <c r="E11" s="14" t="s">
        <v>507</v>
      </c>
      <c r="F11" s="13" t="s">
        <v>514</v>
      </c>
      <c r="G11" s="12" t="s">
        <v>23</v>
      </c>
      <c r="H11" s="15"/>
      <c r="I11" s="15"/>
      <c r="J11" s="15">
        <f t="shared" si="0"/>
        <v>0</v>
      </c>
    </row>
    <row r="12" spans="1:10">
      <c r="A12" s="62"/>
      <c r="B12" s="62"/>
      <c r="C12" s="13" t="s">
        <v>506</v>
      </c>
      <c r="D12" s="14" t="s">
        <v>11</v>
      </c>
      <c r="E12" s="14" t="s">
        <v>507</v>
      </c>
      <c r="F12" s="13" t="s">
        <v>515</v>
      </c>
      <c r="G12" s="12" t="s">
        <v>23</v>
      </c>
      <c r="H12" s="15"/>
      <c r="I12" s="15"/>
      <c r="J12" s="15">
        <f t="shared" si="0"/>
        <v>0</v>
      </c>
    </row>
    <row r="13" spans="1:10">
      <c r="A13" s="62"/>
      <c r="B13" s="62"/>
      <c r="C13" s="13" t="s">
        <v>506</v>
      </c>
      <c r="D13" s="14" t="s">
        <v>11</v>
      </c>
      <c r="E13" s="14" t="s">
        <v>507</v>
      </c>
      <c r="F13" s="13" t="s">
        <v>516</v>
      </c>
      <c r="G13" s="12" t="s">
        <v>23</v>
      </c>
      <c r="H13" s="15"/>
      <c r="I13" s="15"/>
      <c r="J13" s="15">
        <f t="shared" si="0"/>
        <v>0</v>
      </c>
    </row>
    <row r="14" spans="1:10">
      <c r="A14" s="62"/>
      <c r="B14" s="62"/>
      <c r="C14" s="13" t="s">
        <v>506</v>
      </c>
      <c r="D14" s="14" t="s">
        <v>11</v>
      </c>
      <c r="E14" s="14" t="s">
        <v>507</v>
      </c>
      <c r="F14" s="13" t="s">
        <v>517</v>
      </c>
      <c r="G14" s="12" t="s">
        <v>23</v>
      </c>
      <c r="H14" s="15"/>
      <c r="I14" s="15"/>
      <c r="J14" s="15">
        <f t="shared" si="0"/>
        <v>0</v>
      </c>
    </row>
    <row r="15" spans="1:10">
      <c r="A15" s="62"/>
      <c r="B15" s="62"/>
      <c r="C15" s="13" t="s">
        <v>506</v>
      </c>
      <c r="D15" s="14" t="s">
        <v>11</v>
      </c>
      <c r="E15" s="14" t="s">
        <v>507</v>
      </c>
      <c r="F15" s="13" t="s">
        <v>518</v>
      </c>
      <c r="G15" s="12" t="s">
        <v>23</v>
      </c>
      <c r="H15" s="15"/>
      <c r="I15" s="15"/>
      <c r="J15" s="15">
        <f t="shared" si="0"/>
        <v>0</v>
      </c>
    </row>
    <row r="16" spans="1:10">
      <c r="A16" s="62"/>
      <c r="B16" s="62"/>
      <c r="C16" s="13" t="s">
        <v>506</v>
      </c>
      <c r="D16" s="14" t="s">
        <v>11</v>
      </c>
      <c r="E16" s="14" t="s">
        <v>507</v>
      </c>
      <c r="F16" s="13" t="s">
        <v>519</v>
      </c>
      <c r="G16" s="12" t="s">
        <v>23</v>
      </c>
      <c r="H16" s="15"/>
      <c r="I16" s="15"/>
      <c r="J16" s="15">
        <f t="shared" si="0"/>
        <v>0</v>
      </c>
    </row>
    <row r="17" spans="1:10">
      <c r="A17" s="62"/>
      <c r="B17" s="62"/>
      <c r="C17" s="13" t="s">
        <v>506</v>
      </c>
      <c r="D17" s="14" t="s">
        <v>11</v>
      </c>
      <c r="E17" s="14" t="s">
        <v>507</v>
      </c>
      <c r="F17" s="13" t="s">
        <v>520</v>
      </c>
      <c r="G17" s="12" t="s">
        <v>23</v>
      </c>
      <c r="H17" s="15"/>
      <c r="I17" s="15"/>
      <c r="J17" s="15">
        <f t="shared" si="0"/>
        <v>0</v>
      </c>
    </row>
    <row r="18" spans="1:10">
      <c r="A18" s="62"/>
      <c r="B18" s="62"/>
      <c r="C18" s="13" t="s">
        <v>506</v>
      </c>
      <c r="D18" s="14" t="s">
        <v>11</v>
      </c>
      <c r="E18" s="14" t="s">
        <v>507</v>
      </c>
      <c r="F18" s="13" t="s">
        <v>521</v>
      </c>
      <c r="G18" s="12" t="s">
        <v>23</v>
      </c>
      <c r="H18" s="15"/>
      <c r="I18" s="15"/>
      <c r="J18" s="15">
        <f t="shared" si="0"/>
        <v>0</v>
      </c>
    </row>
    <row r="19" spans="1:10">
      <c r="A19" s="62"/>
      <c r="B19" s="62"/>
      <c r="C19" s="13" t="s">
        <v>506</v>
      </c>
      <c r="D19" s="14" t="s">
        <v>11</v>
      </c>
      <c r="E19" s="14" t="s">
        <v>507</v>
      </c>
      <c r="F19" s="13" t="s">
        <v>522</v>
      </c>
      <c r="G19" s="12" t="s">
        <v>23</v>
      </c>
      <c r="H19" s="15"/>
      <c r="I19" s="15"/>
      <c r="J19" s="15">
        <f t="shared" si="0"/>
        <v>0</v>
      </c>
    </row>
    <row r="20" spans="1:10">
      <c r="A20" s="62"/>
      <c r="B20" s="62"/>
      <c r="C20" s="13" t="s">
        <v>506</v>
      </c>
      <c r="D20" s="14" t="s">
        <v>11</v>
      </c>
      <c r="E20" s="14" t="s">
        <v>507</v>
      </c>
      <c r="F20" s="13" t="s">
        <v>523</v>
      </c>
      <c r="G20" s="12" t="s">
        <v>23</v>
      </c>
      <c r="H20" s="15"/>
      <c r="I20" s="15"/>
      <c r="J20" s="15">
        <f t="shared" si="0"/>
        <v>0</v>
      </c>
    </row>
    <row r="21" spans="1:10">
      <c r="A21" s="62"/>
      <c r="B21" s="62"/>
      <c r="C21" s="13" t="s">
        <v>506</v>
      </c>
      <c r="D21" s="14" t="s">
        <v>11</v>
      </c>
      <c r="E21" s="14" t="s">
        <v>507</v>
      </c>
      <c r="F21" s="13" t="s">
        <v>524</v>
      </c>
      <c r="G21" s="12" t="s">
        <v>23</v>
      </c>
      <c r="H21" s="15"/>
      <c r="I21" s="15"/>
      <c r="J21" s="15">
        <f t="shared" si="0"/>
        <v>0</v>
      </c>
    </row>
    <row r="22" spans="1:10">
      <c r="A22" s="62"/>
      <c r="B22" s="62"/>
      <c r="C22" s="13" t="s">
        <v>506</v>
      </c>
      <c r="D22" s="14" t="s">
        <v>11</v>
      </c>
      <c r="E22" s="14" t="s">
        <v>507</v>
      </c>
      <c r="F22" s="13" t="s">
        <v>525</v>
      </c>
      <c r="G22" s="12" t="s">
        <v>23</v>
      </c>
      <c r="H22" s="15"/>
      <c r="I22" s="15"/>
      <c r="J22" s="15">
        <f t="shared" si="0"/>
        <v>0</v>
      </c>
    </row>
    <row r="23" spans="1:10">
      <c r="A23" s="62"/>
      <c r="B23" s="62"/>
      <c r="C23" s="13" t="s">
        <v>506</v>
      </c>
      <c r="D23" s="14" t="s">
        <v>11</v>
      </c>
      <c r="E23" s="14" t="s">
        <v>507</v>
      </c>
      <c r="F23" s="13" t="s">
        <v>526</v>
      </c>
      <c r="G23" s="12" t="s">
        <v>23</v>
      </c>
      <c r="H23" s="15"/>
      <c r="I23" s="15"/>
      <c r="J23" s="15">
        <f t="shared" si="0"/>
        <v>0</v>
      </c>
    </row>
    <row r="24" spans="1:10">
      <c r="A24" s="62"/>
      <c r="B24" s="62"/>
      <c r="C24" s="13" t="s">
        <v>506</v>
      </c>
      <c r="D24" s="14" t="s">
        <v>11</v>
      </c>
      <c r="E24" s="14" t="s">
        <v>507</v>
      </c>
      <c r="F24" s="13" t="s">
        <v>527</v>
      </c>
      <c r="G24" s="12" t="s">
        <v>23</v>
      </c>
      <c r="H24" s="15"/>
      <c r="I24" s="15"/>
      <c r="J24" s="15">
        <f t="shared" si="0"/>
        <v>0</v>
      </c>
    </row>
    <row r="25" spans="1:10">
      <c r="A25" s="62"/>
      <c r="B25" s="62"/>
      <c r="C25" s="13" t="s">
        <v>506</v>
      </c>
      <c r="D25" s="14" t="s">
        <v>11</v>
      </c>
      <c r="E25" s="14" t="s">
        <v>507</v>
      </c>
      <c r="F25" s="13" t="s">
        <v>528</v>
      </c>
      <c r="G25" s="12" t="s">
        <v>23</v>
      </c>
      <c r="H25" s="15"/>
      <c r="I25" s="15"/>
      <c r="J25" s="15">
        <f t="shared" si="0"/>
        <v>0</v>
      </c>
    </row>
    <row r="26" spans="1:10">
      <c r="A26" s="62"/>
      <c r="B26" s="62"/>
      <c r="C26" s="13" t="s">
        <v>506</v>
      </c>
      <c r="D26" s="14" t="s">
        <v>11</v>
      </c>
      <c r="E26" s="14" t="s">
        <v>507</v>
      </c>
      <c r="F26" s="13" t="s">
        <v>529</v>
      </c>
      <c r="G26" s="12" t="s">
        <v>144</v>
      </c>
      <c r="H26" s="15"/>
      <c r="I26" s="15"/>
      <c r="J26" s="15">
        <f t="shared" si="0"/>
        <v>0</v>
      </c>
    </row>
    <row r="27" ht="28.8" spans="1:10">
      <c r="A27" s="62"/>
      <c r="B27" s="62"/>
      <c r="C27" s="13" t="s">
        <v>506</v>
      </c>
      <c r="D27" s="14" t="s">
        <v>11</v>
      </c>
      <c r="E27" s="14" t="s">
        <v>507</v>
      </c>
      <c r="F27" s="13" t="s">
        <v>530</v>
      </c>
      <c r="G27" s="12" t="s">
        <v>144</v>
      </c>
      <c r="H27" s="15"/>
      <c r="I27" s="15"/>
      <c r="J27" s="15">
        <f t="shared" si="0"/>
        <v>0</v>
      </c>
    </row>
    <row r="28" ht="28.8" spans="1:10">
      <c r="A28" s="62"/>
      <c r="B28" s="62"/>
      <c r="C28" s="13" t="s">
        <v>506</v>
      </c>
      <c r="D28" s="14" t="s">
        <v>11</v>
      </c>
      <c r="E28" s="14" t="s">
        <v>507</v>
      </c>
      <c r="F28" s="13" t="s">
        <v>531</v>
      </c>
      <c r="G28" s="12" t="s">
        <v>144</v>
      </c>
      <c r="H28" s="15"/>
      <c r="I28" s="15"/>
      <c r="J28" s="15">
        <f t="shared" si="0"/>
        <v>0</v>
      </c>
    </row>
    <row r="29" ht="28.8" spans="1:10">
      <c r="A29" s="62"/>
      <c r="B29" s="62"/>
      <c r="C29" s="13" t="s">
        <v>506</v>
      </c>
      <c r="D29" s="14" t="s">
        <v>11</v>
      </c>
      <c r="E29" s="14" t="s">
        <v>507</v>
      </c>
      <c r="F29" s="13" t="s">
        <v>532</v>
      </c>
      <c r="G29" s="12" t="s">
        <v>144</v>
      </c>
      <c r="H29" s="15"/>
      <c r="I29" s="15"/>
      <c r="J29" s="15">
        <f t="shared" si="0"/>
        <v>0</v>
      </c>
    </row>
    <row r="30" ht="43.2" spans="1:10">
      <c r="A30" s="62"/>
      <c r="B30" s="62"/>
      <c r="C30" s="13" t="s">
        <v>506</v>
      </c>
      <c r="D30" s="14" t="s">
        <v>11</v>
      </c>
      <c r="E30" s="14" t="s">
        <v>507</v>
      </c>
      <c r="F30" s="13" t="s">
        <v>533</v>
      </c>
      <c r="G30" s="12" t="s">
        <v>144</v>
      </c>
      <c r="H30" s="15"/>
      <c r="I30" s="15"/>
      <c r="J30" s="15">
        <f t="shared" si="0"/>
        <v>0</v>
      </c>
    </row>
    <row r="31" spans="1:10">
      <c r="A31" s="63"/>
      <c r="B31" s="63"/>
      <c r="C31" s="13" t="s">
        <v>506</v>
      </c>
      <c r="D31" s="14" t="s">
        <v>11</v>
      </c>
      <c r="E31" s="14" t="s">
        <v>507</v>
      </c>
      <c r="F31" s="13" t="s">
        <v>534</v>
      </c>
      <c r="G31" s="12" t="s">
        <v>144</v>
      </c>
      <c r="H31" s="15"/>
      <c r="I31" s="15"/>
      <c r="J31" s="15">
        <f t="shared" si="0"/>
        <v>0</v>
      </c>
    </row>
  </sheetData>
  <mergeCells count="4">
    <mergeCell ref="A1:J1"/>
    <mergeCell ref="A2:J2"/>
    <mergeCell ref="A4:A31"/>
    <mergeCell ref="B4:B31"/>
  </mergeCells>
  <pageMargins left="0.7" right="0.7" top="0.75" bottom="0.75" header="0.3" footer="0.3"/>
  <pageSetup paperSize="1" scale="44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51"/>
  <sheetViews>
    <sheetView view="pageBreakPreview" zoomScaleNormal="100" topLeftCell="A14" workbookViewId="0">
      <selection activeCell="F22" sqref="F22"/>
    </sheetView>
  </sheetViews>
  <sheetFormatPr defaultColWidth="26.8888888888889" defaultRowHeight="14.4"/>
  <cols>
    <col min="1" max="1" width="8.88888888888889" customWidth="1"/>
    <col min="2" max="2" width="25.2314814814815" customWidth="1"/>
    <col min="3" max="3" width="22.7777777777778" style="1" customWidth="1"/>
    <col min="4" max="4" width="14.75" style="2" customWidth="1"/>
    <col min="5" max="5" width="29.0462962962963" style="2" customWidth="1"/>
    <col min="6" max="6" width="47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1116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6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ht="28.8" spans="1:10">
      <c r="A4" s="61">
        <v>7</v>
      </c>
      <c r="B4" s="61" t="s">
        <v>1117</v>
      </c>
      <c r="C4" s="13" t="s">
        <v>445</v>
      </c>
      <c r="D4" s="14" t="s">
        <v>20</v>
      </c>
      <c r="E4" s="14" t="s">
        <v>265</v>
      </c>
      <c r="F4" s="13" t="s">
        <v>446</v>
      </c>
      <c r="G4" s="12" t="s">
        <v>63</v>
      </c>
      <c r="H4" s="15"/>
      <c r="I4" s="15"/>
      <c r="J4" s="15">
        <f t="shared" ref="J4:J51" si="0">+ROUND(PRODUCT(H4*I4),0)</f>
        <v>0</v>
      </c>
    </row>
    <row r="5" ht="28.8" spans="1:10">
      <c r="A5" s="62">
        <f t="shared" ref="A5:A52" si="1">1+A4</f>
        <v>8</v>
      </c>
      <c r="B5" s="62"/>
      <c r="C5" s="13" t="s">
        <v>445</v>
      </c>
      <c r="D5" s="14" t="s">
        <v>20</v>
      </c>
      <c r="E5" s="14" t="s">
        <v>265</v>
      </c>
      <c r="F5" s="13" t="s">
        <v>447</v>
      </c>
      <c r="G5" s="12" t="s">
        <v>23</v>
      </c>
      <c r="H5" s="15"/>
      <c r="I5" s="15"/>
      <c r="J5" s="15">
        <f t="shared" si="0"/>
        <v>0</v>
      </c>
    </row>
    <row r="6" ht="28.8" spans="1:10">
      <c r="A6" s="62">
        <f t="shared" si="1"/>
        <v>9</v>
      </c>
      <c r="B6" s="62"/>
      <c r="C6" s="13" t="s">
        <v>445</v>
      </c>
      <c r="D6" s="14" t="s">
        <v>20</v>
      </c>
      <c r="E6" s="14" t="s">
        <v>265</v>
      </c>
      <c r="F6" s="13" t="s">
        <v>448</v>
      </c>
      <c r="G6" s="12" t="s">
        <v>63</v>
      </c>
      <c r="H6" s="15"/>
      <c r="I6" s="15"/>
      <c r="J6" s="15">
        <f t="shared" si="0"/>
        <v>0</v>
      </c>
    </row>
    <row r="7" ht="28.8" spans="1:10">
      <c r="A7" s="62">
        <f t="shared" si="1"/>
        <v>10</v>
      </c>
      <c r="B7" s="62"/>
      <c r="C7" s="13" t="s">
        <v>445</v>
      </c>
      <c r="D7" s="14" t="s">
        <v>20</v>
      </c>
      <c r="E7" s="14" t="s">
        <v>265</v>
      </c>
      <c r="F7" s="13" t="s">
        <v>449</v>
      </c>
      <c r="G7" s="12" t="s">
        <v>49</v>
      </c>
      <c r="H7" s="15"/>
      <c r="I7" s="15"/>
      <c r="J7" s="15">
        <f t="shared" si="0"/>
        <v>0</v>
      </c>
    </row>
    <row r="8" ht="28.8" spans="1:10">
      <c r="A8" s="62">
        <f t="shared" si="1"/>
        <v>11</v>
      </c>
      <c r="B8" s="62"/>
      <c r="C8" s="13" t="s">
        <v>445</v>
      </c>
      <c r="D8" s="14" t="s">
        <v>20</v>
      </c>
      <c r="E8" s="14" t="s">
        <v>265</v>
      </c>
      <c r="F8" s="13" t="s">
        <v>450</v>
      </c>
      <c r="G8" s="12" t="s">
        <v>63</v>
      </c>
      <c r="H8" s="15"/>
      <c r="I8" s="15"/>
      <c r="J8" s="15">
        <f t="shared" si="0"/>
        <v>0</v>
      </c>
    </row>
    <row r="9" ht="28.8" spans="1:10">
      <c r="A9" s="62">
        <f t="shared" si="1"/>
        <v>12</v>
      </c>
      <c r="B9" s="62"/>
      <c r="C9" s="13" t="s">
        <v>445</v>
      </c>
      <c r="D9" s="14" t="s">
        <v>20</v>
      </c>
      <c r="E9" s="14" t="s">
        <v>265</v>
      </c>
      <c r="F9" s="13" t="s">
        <v>451</v>
      </c>
      <c r="G9" s="12" t="s">
        <v>23</v>
      </c>
      <c r="H9" s="15"/>
      <c r="I9" s="15"/>
      <c r="J9" s="15">
        <f t="shared" si="0"/>
        <v>0</v>
      </c>
    </row>
    <row r="10" ht="28.8" spans="1:10">
      <c r="A10" s="62">
        <f t="shared" si="1"/>
        <v>13</v>
      </c>
      <c r="B10" s="62"/>
      <c r="C10" s="13" t="s">
        <v>445</v>
      </c>
      <c r="D10" s="14" t="s">
        <v>20</v>
      </c>
      <c r="E10" s="14" t="s">
        <v>265</v>
      </c>
      <c r="F10" s="13" t="s">
        <v>452</v>
      </c>
      <c r="G10" s="12" t="s">
        <v>63</v>
      </c>
      <c r="H10" s="15"/>
      <c r="I10" s="15"/>
      <c r="J10" s="15">
        <f t="shared" si="0"/>
        <v>0</v>
      </c>
    </row>
    <row r="11" ht="28.8" spans="1:10">
      <c r="A11" s="62">
        <f t="shared" si="1"/>
        <v>14</v>
      </c>
      <c r="B11" s="62"/>
      <c r="C11" s="13" t="s">
        <v>445</v>
      </c>
      <c r="D11" s="14" t="s">
        <v>20</v>
      </c>
      <c r="E11" s="14" t="s">
        <v>265</v>
      </c>
      <c r="F11" s="13" t="s">
        <v>453</v>
      </c>
      <c r="G11" s="12" t="s">
        <v>49</v>
      </c>
      <c r="H11" s="15"/>
      <c r="I11" s="15"/>
      <c r="J11" s="15">
        <f t="shared" si="0"/>
        <v>0</v>
      </c>
    </row>
    <row r="12" ht="28.8" spans="1:10">
      <c r="A12" s="62">
        <f t="shared" si="1"/>
        <v>15</v>
      </c>
      <c r="B12" s="62"/>
      <c r="C12" s="13" t="s">
        <v>445</v>
      </c>
      <c r="D12" s="14" t="s">
        <v>20</v>
      </c>
      <c r="E12" s="14" t="s">
        <v>265</v>
      </c>
      <c r="F12" s="13" t="s">
        <v>454</v>
      </c>
      <c r="G12" s="12" t="s">
        <v>63</v>
      </c>
      <c r="H12" s="15"/>
      <c r="I12" s="15"/>
      <c r="J12" s="15">
        <f t="shared" si="0"/>
        <v>0</v>
      </c>
    </row>
    <row r="13" ht="28.8" spans="1:10">
      <c r="A13" s="62">
        <f t="shared" si="1"/>
        <v>16</v>
      </c>
      <c r="B13" s="62"/>
      <c r="C13" s="13" t="s">
        <v>456</v>
      </c>
      <c r="D13" s="14" t="s">
        <v>20</v>
      </c>
      <c r="E13" s="14" t="s">
        <v>457</v>
      </c>
      <c r="F13" s="13" t="s">
        <v>458</v>
      </c>
      <c r="G13" s="12" t="s">
        <v>23</v>
      </c>
      <c r="H13" s="15"/>
      <c r="I13" s="15"/>
      <c r="J13" s="15">
        <f t="shared" si="0"/>
        <v>0</v>
      </c>
    </row>
    <row r="14" ht="28.8" spans="1:10">
      <c r="A14" s="62">
        <f t="shared" si="1"/>
        <v>17</v>
      </c>
      <c r="B14" s="62"/>
      <c r="C14" s="13" t="s">
        <v>456</v>
      </c>
      <c r="D14" s="14" t="s">
        <v>20</v>
      </c>
      <c r="E14" s="14" t="s">
        <v>59</v>
      </c>
      <c r="F14" s="13" t="s">
        <v>459</v>
      </c>
      <c r="G14" s="12" t="s">
        <v>63</v>
      </c>
      <c r="H14" s="15"/>
      <c r="I14" s="15"/>
      <c r="J14" s="15">
        <f t="shared" si="0"/>
        <v>0</v>
      </c>
    </row>
    <row r="15" ht="28.8" spans="1:10">
      <c r="A15" s="62">
        <f t="shared" si="1"/>
        <v>18</v>
      </c>
      <c r="B15" s="62"/>
      <c r="C15" s="13" t="s">
        <v>456</v>
      </c>
      <c r="D15" s="14" t="s">
        <v>20</v>
      </c>
      <c r="E15" s="14" t="s">
        <v>61</v>
      </c>
      <c r="F15" s="13" t="s">
        <v>460</v>
      </c>
      <c r="G15" s="12" t="s">
        <v>144</v>
      </c>
      <c r="H15" s="15"/>
      <c r="I15" s="15"/>
      <c r="J15" s="15">
        <f t="shared" si="0"/>
        <v>0</v>
      </c>
    </row>
    <row r="16" ht="28.8" spans="1:10">
      <c r="A16" s="62">
        <f t="shared" si="1"/>
        <v>19</v>
      </c>
      <c r="B16" s="62"/>
      <c r="C16" s="13" t="s">
        <v>456</v>
      </c>
      <c r="D16" s="14" t="s">
        <v>20</v>
      </c>
      <c r="E16" s="14" t="s">
        <v>61</v>
      </c>
      <c r="F16" s="13" t="s">
        <v>461</v>
      </c>
      <c r="G16" s="12" t="s">
        <v>23</v>
      </c>
      <c r="H16" s="15"/>
      <c r="I16" s="15"/>
      <c r="J16" s="15">
        <f t="shared" si="0"/>
        <v>0</v>
      </c>
    </row>
    <row r="17" ht="28.8" spans="1:10">
      <c r="A17" s="62">
        <f t="shared" si="1"/>
        <v>20</v>
      </c>
      <c r="B17" s="62"/>
      <c r="C17" s="13" t="s">
        <v>456</v>
      </c>
      <c r="D17" s="14" t="s">
        <v>20</v>
      </c>
      <c r="E17" s="14" t="s">
        <v>61</v>
      </c>
      <c r="F17" s="13" t="s">
        <v>462</v>
      </c>
      <c r="G17" s="12" t="s">
        <v>23</v>
      </c>
      <c r="H17" s="15"/>
      <c r="I17" s="15"/>
      <c r="J17" s="15">
        <f t="shared" si="0"/>
        <v>0</v>
      </c>
    </row>
    <row r="18" ht="28.8" spans="1:10">
      <c r="A18" s="62">
        <f t="shared" si="1"/>
        <v>21</v>
      </c>
      <c r="B18" s="62"/>
      <c r="C18" s="13" t="s">
        <v>456</v>
      </c>
      <c r="D18" s="14" t="s">
        <v>20</v>
      </c>
      <c r="E18" s="14" t="s">
        <v>61</v>
      </c>
      <c r="F18" s="13" t="s">
        <v>463</v>
      </c>
      <c r="G18" s="12" t="s">
        <v>23</v>
      </c>
      <c r="H18" s="15"/>
      <c r="I18" s="15"/>
      <c r="J18" s="15">
        <f t="shared" si="0"/>
        <v>0</v>
      </c>
    </row>
    <row r="19" ht="28.8" spans="1:10">
      <c r="A19" s="62">
        <f t="shared" si="1"/>
        <v>22</v>
      </c>
      <c r="B19" s="62"/>
      <c r="C19" s="13" t="s">
        <v>456</v>
      </c>
      <c r="D19" s="14" t="s">
        <v>20</v>
      </c>
      <c r="E19" s="14" t="s">
        <v>61</v>
      </c>
      <c r="F19" s="13" t="s">
        <v>464</v>
      </c>
      <c r="G19" s="12" t="s">
        <v>23</v>
      </c>
      <c r="H19" s="15"/>
      <c r="I19" s="15"/>
      <c r="J19" s="15">
        <f t="shared" si="0"/>
        <v>0</v>
      </c>
    </row>
    <row r="20" ht="28.8" spans="1:10">
      <c r="A20" s="62">
        <f t="shared" si="1"/>
        <v>23</v>
      </c>
      <c r="B20" s="62"/>
      <c r="C20" s="13" t="s">
        <v>456</v>
      </c>
      <c r="D20" s="14" t="s">
        <v>20</v>
      </c>
      <c r="E20" s="14" t="s">
        <v>61</v>
      </c>
      <c r="F20" s="13" t="s">
        <v>465</v>
      </c>
      <c r="G20" s="12" t="s">
        <v>23</v>
      </c>
      <c r="H20" s="15"/>
      <c r="I20" s="15"/>
      <c r="J20" s="15">
        <f t="shared" si="0"/>
        <v>0</v>
      </c>
    </row>
    <row r="21" ht="28.8" spans="1:10">
      <c r="A21" s="62">
        <f t="shared" si="1"/>
        <v>24</v>
      </c>
      <c r="B21" s="62"/>
      <c r="C21" s="13" t="s">
        <v>456</v>
      </c>
      <c r="D21" s="14" t="s">
        <v>20</v>
      </c>
      <c r="E21" s="14" t="s">
        <v>61</v>
      </c>
      <c r="F21" s="13" t="s">
        <v>466</v>
      </c>
      <c r="G21" s="12" t="s">
        <v>23</v>
      </c>
      <c r="H21" s="15"/>
      <c r="I21" s="15"/>
      <c r="J21" s="15">
        <f t="shared" si="0"/>
        <v>0</v>
      </c>
    </row>
    <row r="22" ht="28.8" spans="1:10">
      <c r="A22" s="62">
        <f t="shared" si="1"/>
        <v>25</v>
      </c>
      <c r="B22" s="62"/>
      <c r="C22" s="13" t="s">
        <v>456</v>
      </c>
      <c r="D22" s="14" t="s">
        <v>20</v>
      </c>
      <c r="E22" s="14" t="s">
        <v>61</v>
      </c>
      <c r="F22" s="13" t="s">
        <v>467</v>
      </c>
      <c r="G22" s="12" t="s">
        <v>23</v>
      </c>
      <c r="H22" s="15"/>
      <c r="I22" s="15"/>
      <c r="J22" s="15">
        <f t="shared" si="0"/>
        <v>0</v>
      </c>
    </row>
    <row r="23" ht="28.8" spans="1:10">
      <c r="A23" s="62">
        <f t="shared" si="1"/>
        <v>26</v>
      </c>
      <c r="B23" s="62"/>
      <c r="C23" s="13" t="s">
        <v>456</v>
      </c>
      <c r="D23" s="14" t="s">
        <v>20</v>
      </c>
      <c r="E23" s="14" t="s">
        <v>61</v>
      </c>
      <c r="F23" s="13" t="s">
        <v>468</v>
      </c>
      <c r="G23" s="12" t="s">
        <v>23</v>
      </c>
      <c r="H23" s="15"/>
      <c r="I23" s="15"/>
      <c r="J23" s="15">
        <f t="shared" si="0"/>
        <v>0</v>
      </c>
    </row>
    <row r="24" ht="28.8" spans="1:10">
      <c r="A24" s="62">
        <f t="shared" si="1"/>
        <v>27</v>
      </c>
      <c r="B24" s="62"/>
      <c r="C24" s="13" t="s">
        <v>456</v>
      </c>
      <c r="D24" s="14" t="s">
        <v>20</v>
      </c>
      <c r="E24" s="14" t="s">
        <v>61</v>
      </c>
      <c r="F24" s="13" t="s">
        <v>469</v>
      </c>
      <c r="G24" s="12" t="s">
        <v>23</v>
      </c>
      <c r="H24" s="15"/>
      <c r="I24" s="15"/>
      <c r="J24" s="15">
        <f t="shared" si="0"/>
        <v>0</v>
      </c>
    </row>
    <row r="25" ht="28.8" spans="1:10">
      <c r="A25" s="62">
        <f t="shared" si="1"/>
        <v>28</v>
      </c>
      <c r="B25" s="62"/>
      <c r="C25" s="13" t="s">
        <v>456</v>
      </c>
      <c r="D25" s="14" t="s">
        <v>20</v>
      </c>
      <c r="E25" s="14" t="s">
        <v>61</v>
      </c>
      <c r="F25" s="13" t="s">
        <v>470</v>
      </c>
      <c r="G25" s="12" t="s">
        <v>23</v>
      </c>
      <c r="H25" s="15"/>
      <c r="I25" s="15"/>
      <c r="J25" s="15">
        <f t="shared" si="0"/>
        <v>0</v>
      </c>
    </row>
    <row r="26" ht="28.8" spans="1:10">
      <c r="A26" s="62">
        <f t="shared" si="1"/>
        <v>29</v>
      </c>
      <c r="B26" s="62"/>
      <c r="C26" s="13" t="s">
        <v>456</v>
      </c>
      <c r="D26" s="14" t="s">
        <v>20</v>
      </c>
      <c r="E26" s="14" t="s">
        <v>61</v>
      </c>
      <c r="F26" s="13" t="s">
        <v>471</v>
      </c>
      <c r="G26" s="12" t="s">
        <v>472</v>
      </c>
      <c r="H26" s="15"/>
      <c r="I26" s="15"/>
      <c r="J26" s="15">
        <f t="shared" si="0"/>
        <v>0</v>
      </c>
    </row>
    <row r="27" ht="28.8" spans="1:10">
      <c r="A27" s="62">
        <f t="shared" si="1"/>
        <v>30</v>
      </c>
      <c r="B27" s="62"/>
      <c r="C27" s="13" t="s">
        <v>456</v>
      </c>
      <c r="D27" s="14" t="s">
        <v>20</v>
      </c>
      <c r="E27" s="14" t="s">
        <v>61</v>
      </c>
      <c r="F27" s="13" t="s">
        <v>473</v>
      </c>
      <c r="G27" s="12" t="s">
        <v>23</v>
      </c>
      <c r="H27" s="15"/>
      <c r="I27" s="15"/>
      <c r="J27" s="15">
        <f t="shared" si="0"/>
        <v>0</v>
      </c>
    </row>
    <row r="28" ht="28.8" spans="1:10">
      <c r="A28" s="62">
        <f t="shared" si="1"/>
        <v>31</v>
      </c>
      <c r="B28" s="62"/>
      <c r="C28" s="13" t="s">
        <v>456</v>
      </c>
      <c r="D28" s="14" t="s">
        <v>20</v>
      </c>
      <c r="E28" s="14" t="s">
        <v>61</v>
      </c>
      <c r="F28" s="13" t="s">
        <v>474</v>
      </c>
      <c r="G28" s="12" t="s">
        <v>23</v>
      </c>
      <c r="H28" s="15"/>
      <c r="I28" s="15"/>
      <c r="J28" s="15">
        <f t="shared" si="0"/>
        <v>0</v>
      </c>
    </row>
    <row r="29" ht="28.8" spans="1:10">
      <c r="A29" s="62">
        <f t="shared" si="1"/>
        <v>32</v>
      </c>
      <c r="B29" s="62"/>
      <c r="C29" s="13" t="s">
        <v>456</v>
      </c>
      <c r="D29" s="14" t="s">
        <v>20</v>
      </c>
      <c r="E29" s="14" t="s">
        <v>61</v>
      </c>
      <c r="F29" s="13" t="s">
        <v>475</v>
      </c>
      <c r="G29" s="12" t="s">
        <v>23</v>
      </c>
      <c r="H29" s="15"/>
      <c r="I29" s="15"/>
      <c r="J29" s="15">
        <f t="shared" si="0"/>
        <v>0</v>
      </c>
    </row>
    <row r="30" ht="28.8" spans="1:10">
      <c r="A30" s="62">
        <f t="shared" si="1"/>
        <v>33</v>
      </c>
      <c r="B30" s="62"/>
      <c r="C30" s="13" t="s">
        <v>456</v>
      </c>
      <c r="D30" s="14" t="s">
        <v>20</v>
      </c>
      <c r="E30" s="14" t="s">
        <v>61</v>
      </c>
      <c r="F30" s="13" t="s">
        <v>476</v>
      </c>
      <c r="G30" s="12" t="s">
        <v>23</v>
      </c>
      <c r="H30" s="15"/>
      <c r="I30" s="15"/>
      <c r="J30" s="15">
        <f t="shared" si="0"/>
        <v>0</v>
      </c>
    </row>
    <row r="31" ht="28.8" spans="1:10">
      <c r="A31" s="62">
        <f t="shared" si="1"/>
        <v>34</v>
      </c>
      <c r="B31" s="62"/>
      <c r="C31" s="13" t="s">
        <v>456</v>
      </c>
      <c r="D31" s="14" t="s">
        <v>20</v>
      </c>
      <c r="E31" s="14" t="s">
        <v>61</v>
      </c>
      <c r="F31" s="13" t="s">
        <v>477</v>
      </c>
      <c r="G31" s="12" t="s">
        <v>23</v>
      </c>
      <c r="H31" s="15"/>
      <c r="I31" s="15"/>
      <c r="J31" s="15">
        <f t="shared" si="0"/>
        <v>0</v>
      </c>
    </row>
    <row r="32" ht="28.8" spans="1:10">
      <c r="A32" s="62" t="e">
        <f>1+#REF!</f>
        <v>#REF!</v>
      </c>
      <c r="B32" s="62"/>
      <c r="C32" s="13" t="s">
        <v>456</v>
      </c>
      <c r="D32" s="14" t="s">
        <v>20</v>
      </c>
      <c r="E32" s="14" t="s">
        <v>61</v>
      </c>
      <c r="F32" s="13" t="s">
        <v>479</v>
      </c>
      <c r="G32" s="12" t="s">
        <v>23</v>
      </c>
      <c r="H32" s="15"/>
      <c r="I32" s="15"/>
      <c r="J32" s="15">
        <f t="shared" si="0"/>
        <v>0</v>
      </c>
    </row>
    <row r="33" ht="28.8" spans="1:10">
      <c r="A33" s="62" t="e">
        <f t="shared" ref="A33:A51" si="2">1+A32</f>
        <v>#REF!</v>
      </c>
      <c r="B33" s="62"/>
      <c r="C33" s="13" t="s">
        <v>456</v>
      </c>
      <c r="D33" s="14" t="s">
        <v>20</v>
      </c>
      <c r="E33" s="14" t="s">
        <v>61</v>
      </c>
      <c r="F33" s="13" t="s">
        <v>480</v>
      </c>
      <c r="G33" s="12" t="s">
        <v>23</v>
      </c>
      <c r="H33" s="15"/>
      <c r="I33" s="15"/>
      <c r="J33" s="15">
        <f t="shared" si="0"/>
        <v>0</v>
      </c>
    </row>
    <row r="34" ht="28.8" spans="1:10">
      <c r="A34" s="62" t="e">
        <f t="shared" si="2"/>
        <v>#REF!</v>
      </c>
      <c r="B34" s="62"/>
      <c r="C34" s="13" t="s">
        <v>456</v>
      </c>
      <c r="D34" s="14" t="s">
        <v>20</v>
      </c>
      <c r="E34" s="14" t="s">
        <v>61</v>
      </c>
      <c r="F34" s="13" t="s">
        <v>71</v>
      </c>
      <c r="G34" s="12" t="s">
        <v>23</v>
      </c>
      <c r="H34" s="15"/>
      <c r="I34" s="15"/>
      <c r="J34" s="15">
        <f t="shared" si="0"/>
        <v>0</v>
      </c>
    </row>
    <row r="35" ht="28.8" spans="1:10">
      <c r="A35" s="62" t="e">
        <f t="shared" si="2"/>
        <v>#REF!</v>
      </c>
      <c r="B35" s="62"/>
      <c r="C35" s="13" t="s">
        <v>456</v>
      </c>
      <c r="D35" s="14" t="s">
        <v>20</v>
      </c>
      <c r="E35" s="14" t="s">
        <v>61</v>
      </c>
      <c r="F35" s="13" t="s">
        <v>481</v>
      </c>
      <c r="G35" s="12" t="s">
        <v>23</v>
      </c>
      <c r="H35" s="15"/>
      <c r="I35" s="15"/>
      <c r="J35" s="15">
        <f t="shared" si="0"/>
        <v>0</v>
      </c>
    </row>
    <row r="36" ht="28.8" spans="1:10">
      <c r="A36" s="62" t="e">
        <f t="shared" si="2"/>
        <v>#REF!</v>
      </c>
      <c r="B36" s="62"/>
      <c r="C36" s="13" t="s">
        <v>456</v>
      </c>
      <c r="D36" s="14" t="s">
        <v>20</v>
      </c>
      <c r="E36" s="14" t="s">
        <v>61</v>
      </c>
      <c r="F36" s="13" t="s">
        <v>482</v>
      </c>
      <c r="G36" s="12" t="s">
        <v>23</v>
      </c>
      <c r="H36" s="15"/>
      <c r="I36" s="15"/>
      <c r="J36" s="15">
        <f t="shared" si="0"/>
        <v>0</v>
      </c>
    </row>
    <row r="37" ht="28.8" spans="1:10">
      <c r="A37" s="62" t="e">
        <f t="shared" si="2"/>
        <v>#REF!</v>
      </c>
      <c r="B37" s="62"/>
      <c r="C37" s="13" t="s">
        <v>456</v>
      </c>
      <c r="D37" s="14" t="s">
        <v>20</v>
      </c>
      <c r="E37" s="14" t="s">
        <v>61</v>
      </c>
      <c r="F37" s="13" t="s">
        <v>483</v>
      </c>
      <c r="G37" s="12" t="s">
        <v>23</v>
      </c>
      <c r="H37" s="15"/>
      <c r="I37" s="15"/>
      <c r="J37" s="15">
        <f t="shared" si="0"/>
        <v>0</v>
      </c>
    </row>
    <row r="38" ht="28.8" spans="1:10">
      <c r="A38" s="62" t="e">
        <f t="shared" si="2"/>
        <v>#REF!</v>
      </c>
      <c r="B38" s="62"/>
      <c r="C38" s="13" t="s">
        <v>456</v>
      </c>
      <c r="D38" s="14" t="s">
        <v>20</v>
      </c>
      <c r="E38" s="14" t="s">
        <v>61</v>
      </c>
      <c r="F38" s="13" t="s">
        <v>484</v>
      </c>
      <c r="G38" s="12" t="s">
        <v>23</v>
      </c>
      <c r="H38" s="15"/>
      <c r="I38" s="15"/>
      <c r="J38" s="15">
        <f t="shared" si="0"/>
        <v>0</v>
      </c>
    </row>
    <row r="39" ht="28.8" spans="1:10">
      <c r="A39" s="62" t="e">
        <f t="shared" si="2"/>
        <v>#REF!</v>
      </c>
      <c r="B39" s="62"/>
      <c r="C39" s="13" t="s">
        <v>456</v>
      </c>
      <c r="D39" s="14" t="s">
        <v>20</v>
      </c>
      <c r="E39" s="14" t="s">
        <v>61</v>
      </c>
      <c r="F39" s="13" t="s">
        <v>485</v>
      </c>
      <c r="G39" s="12" t="s">
        <v>23</v>
      </c>
      <c r="H39" s="15"/>
      <c r="I39" s="15"/>
      <c r="J39" s="15">
        <f t="shared" si="0"/>
        <v>0</v>
      </c>
    </row>
    <row r="40" ht="28.8" spans="1:10">
      <c r="A40" s="62" t="e">
        <f t="shared" si="2"/>
        <v>#REF!</v>
      </c>
      <c r="B40" s="62"/>
      <c r="C40" s="13" t="s">
        <v>456</v>
      </c>
      <c r="D40" s="14" t="s">
        <v>20</v>
      </c>
      <c r="E40" s="14" t="s">
        <v>61</v>
      </c>
      <c r="F40" s="13" t="s">
        <v>74</v>
      </c>
      <c r="G40" s="12" t="s">
        <v>63</v>
      </c>
      <c r="H40" s="15"/>
      <c r="I40" s="15"/>
      <c r="J40" s="15">
        <f t="shared" si="0"/>
        <v>0</v>
      </c>
    </row>
    <row r="41" ht="28.8" spans="1:10">
      <c r="A41" s="62" t="e">
        <f t="shared" si="2"/>
        <v>#REF!</v>
      </c>
      <c r="B41" s="62"/>
      <c r="C41" s="13" t="s">
        <v>456</v>
      </c>
      <c r="D41" s="14" t="s">
        <v>20</v>
      </c>
      <c r="E41" s="14" t="s">
        <v>61</v>
      </c>
      <c r="F41" s="13" t="s">
        <v>486</v>
      </c>
      <c r="G41" s="12" t="s">
        <v>23</v>
      </c>
      <c r="H41" s="15"/>
      <c r="I41" s="15"/>
      <c r="J41" s="15">
        <f t="shared" si="0"/>
        <v>0</v>
      </c>
    </row>
    <row r="42" ht="28.8" spans="1:10">
      <c r="A42" s="62" t="e">
        <f t="shared" si="2"/>
        <v>#REF!</v>
      </c>
      <c r="B42" s="62"/>
      <c r="C42" s="13" t="s">
        <v>456</v>
      </c>
      <c r="D42" s="14" t="s">
        <v>20</v>
      </c>
      <c r="E42" s="14" t="s">
        <v>61</v>
      </c>
      <c r="F42" s="13" t="s">
        <v>487</v>
      </c>
      <c r="G42" s="12" t="s">
        <v>23</v>
      </c>
      <c r="H42" s="15"/>
      <c r="I42" s="15"/>
      <c r="J42" s="15">
        <f t="shared" si="0"/>
        <v>0</v>
      </c>
    </row>
    <row r="43" ht="28.8" spans="1:10">
      <c r="A43" s="62" t="e">
        <f t="shared" si="2"/>
        <v>#REF!</v>
      </c>
      <c r="B43" s="62"/>
      <c r="C43" s="13" t="s">
        <v>456</v>
      </c>
      <c r="D43" s="14" t="s">
        <v>20</v>
      </c>
      <c r="E43" s="14" t="s">
        <v>61</v>
      </c>
      <c r="F43" s="13" t="s">
        <v>488</v>
      </c>
      <c r="G43" s="12" t="s">
        <v>23</v>
      </c>
      <c r="H43" s="15"/>
      <c r="I43" s="15"/>
      <c r="J43" s="15">
        <f t="shared" si="0"/>
        <v>0</v>
      </c>
    </row>
    <row r="44" ht="28.8" spans="1:10">
      <c r="A44" s="62" t="e">
        <f t="shared" si="2"/>
        <v>#REF!</v>
      </c>
      <c r="B44" s="62"/>
      <c r="C44" s="13" t="s">
        <v>456</v>
      </c>
      <c r="D44" s="14" t="s">
        <v>20</v>
      </c>
      <c r="E44" s="14" t="s">
        <v>61</v>
      </c>
      <c r="F44" s="13" t="s">
        <v>489</v>
      </c>
      <c r="G44" s="12" t="s">
        <v>23</v>
      </c>
      <c r="H44" s="15"/>
      <c r="I44" s="15"/>
      <c r="J44" s="15">
        <f t="shared" si="0"/>
        <v>0</v>
      </c>
    </row>
    <row r="45" ht="28.8" spans="1:10">
      <c r="A45" s="62" t="e">
        <f t="shared" si="2"/>
        <v>#REF!</v>
      </c>
      <c r="B45" s="62"/>
      <c r="C45" s="13" t="s">
        <v>456</v>
      </c>
      <c r="D45" s="14" t="s">
        <v>20</v>
      </c>
      <c r="E45" s="14" t="s">
        <v>61</v>
      </c>
      <c r="F45" s="13" t="s">
        <v>490</v>
      </c>
      <c r="G45" s="12" t="s">
        <v>23</v>
      </c>
      <c r="H45" s="15"/>
      <c r="I45" s="15"/>
      <c r="J45" s="15">
        <f t="shared" si="0"/>
        <v>0</v>
      </c>
    </row>
    <row r="46" ht="28.8" spans="1:10">
      <c r="A46" s="62" t="e">
        <f t="shared" si="2"/>
        <v>#REF!</v>
      </c>
      <c r="B46" s="62"/>
      <c r="C46" s="13" t="s">
        <v>456</v>
      </c>
      <c r="D46" s="14" t="s">
        <v>20</v>
      </c>
      <c r="E46" s="14" t="s">
        <v>61</v>
      </c>
      <c r="F46" s="13" t="s">
        <v>491</v>
      </c>
      <c r="G46" s="12" t="s">
        <v>23</v>
      </c>
      <c r="H46" s="15"/>
      <c r="I46" s="15"/>
      <c r="J46" s="15">
        <f t="shared" si="0"/>
        <v>0</v>
      </c>
    </row>
    <row r="47" ht="28.8" spans="1:10">
      <c r="A47" s="62" t="e">
        <f t="shared" si="2"/>
        <v>#REF!</v>
      </c>
      <c r="B47" s="62"/>
      <c r="C47" s="13" t="s">
        <v>456</v>
      </c>
      <c r="D47" s="14" t="s">
        <v>20</v>
      </c>
      <c r="E47" s="14" t="s">
        <v>61</v>
      </c>
      <c r="F47" s="13" t="s">
        <v>492</v>
      </c>
      <c r="G47" s="12" t="s">
        <v>23</v>
      </c>
      <c r="H47" s="15"/>
      <c r="I47" s="15"/>
      <c r="J47" s="15">
        <f t="shared" si="0"/>
        <v>0</v>
      </c>
    </row>
    <row r="48" ht="28.8" spans="1:10">
      <c r="A48" s="62" t="e">
        <f t="shared" si="2"/>
        <v>#REF!</v>
      </c>
      <c r="B48" s="62"/>
      <c r="C48" s="13" t="s">
        <v>456</v>
      </c>
      <c r="D48" s="14" t="s">
        <v>20</v>
      </c>
      <c r="E48" s="14" t="s">
        <v>61</v>
      </c>
      <c r="F48" s="13" t="s">
        <v>493</v>
      </c>
      <c r="G48" s="12" t="s">
        <v>23</v>
      </c>
      <c r="H48" s="15"/>
      <c r="I48" s="15"/>
      <c r="J48" s="15">
        <f t="shared" si="0"/>
        <v>0</v>
      </c>
    </row>
    <row r="49" ht="28.8" spans="1:10">
      <c r="A49" s="62" t="e">
        <f t="shared" si="2"/>
        <v>#REF!</v>
      </c>
      <c r="B49" s="62"/>
      <c r="C49" s="13" t="s">
        <v>456</v>
      </c>
      <c r="D49" s="14" t="s">
        <v>20</v>
      </c>
      <c r="E49" s="14" t="s">
        <v>61</v>
      </c>
      <c r="F49" s="13" t="s">
        <v>83</v>
      </c>
      <c r="G49" s="12" t="s">
        <v>63</v>
      </c>
      <c r="H49" s="15"/>
      <c r="I49" s="15"/>
      <c r="J49" s="15">
        <f t="shared" si="0"/>
        <v>0</v>
      </c>
    </row>
    <row r="50" ht="28.8" spans="1:10">
      <c r="A50" s="62" t="e">
        <f t="shared" si="2"/>
        <v>#REF!</v>
      </c>
      <c r="B50" s="62"/>
      <c r="C50" s="13" t="s">
        <v>456</v>
      </c>
      <c r="D50" s="14" t="s">
        <v>20</v>
      </c>
      <c r="E50" s="14" t="s">
        <v>147</v>
      </c>
      <c r="F50" s="13" t="s">
        <v>494</v>
      </c>
      <c r="G50" s="12" t="s">
        <v>42</v>
      </c>
      <c r="H50" s="15"/>
      <c r="I50" s="15"/>
      <c r="J50" s="15">
        <f t="shared" si="0"/>
        <v>0</v>
      </c>
    </row>
    <row r="51" ht="28.8" spans="1:10">
      <c r="A51" s="63" t="e">
        <f t="shared" si="2"/>
        <v>#REF!</v>
      </c>
      <c r="B51" s="63"/>
      <c r="C51" s="13" t="s">
        <v>456</v>
      </c>
      <c r="D51" s="14" t="s">
        <v>20</v>
      </c>
      <c r="E51" s="14" t="s">
        <v>104</v>
      </c>
      <c r="F51" s="13" t="s">
        <v>495</v>
      </c>
      <c r="G51" s="12" t="s">
        <v>49</v>
      </c>
      <c r="H51" s="15"/>
      <c r="I51" s="15"/>
      <c r="J51" s="15">
        <f t="shared" si="0"/>
        <v>0</v>
      </c>
    </row>
  </sheetData>
  <mergeCells count="4">
    <mergeCell ref="A1:J1"/>
    <mergeCell ref="A2:J2"/>
    <mergeCell ref="A4:A51"/>
    <mergeCell ref="B4:B51"/>
  </mergeCells>
  <pageMargins left="0.7" right="0.7" top="0.75" bottom="0.75" header="0.3" footer="0.3"/>
  <pageSetup paperSize="1" scale="35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73"/>
  <sheetViews>
    <sheetView view="pageBreakPreview" zoomScaleNormal="70" topLeftCell="A9" workbookViewId="0">
      <selection activeCell="E16" sqref="E16"/>
    </sheetView>
  </sheetViews>
  <sheetFormatPr defaultColWidth="26.8888888888889" defaultRowHeight="14.4"/>
  <cols>
    <col min="1" max="1" width="8.88888888888889" customWidth="1"/>
    <col min="2" max="2" width="25.2314814814815" customWidth="1"/>
    <col min="3" max="3" width="22.7777777777778" style="1" customWidth="1"/>
    <col min="4" max="4" width="14.75" style="2" customWidth="1"/>
    <col min="5" max="5" width="37.4444444444444" style="2" customWidth="1"/>
    <col min="6" max="6" width="47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1118</v>
      </c>
      <c r="B2" s="3"/>
      <c r="C2" s="4"/>
      <c r="D2" s="3"/>
      <c r="E2" s="3"/>
      <c r="F2" s="5"/>
      <c r="G2" s="3"/>
      <c r="H2" s="3"/>
      <c r="I2" s="3"/>
      <c r="J2" s="3"/>
    </row>
    <row r="3" ht="28" customHeight="1" spans="1:10">
      <c r="A3" s="6" t="s">
        <v>1104</v>
      </c>
      <c r="B3" s="6" t="s">
        <v>1105</v>
      </c>
      <c r="C3" s="7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ht="28.8" spans="1:10">
      <c r="A4" s="55">
        <v>1</v>
      </c>
      <c r="B4" s="55" t="s">
        <v>1119</v>
      </c>
      <c r="C4" s="13" t="s">
        <v>536</v>
      </c>
      <c r="D4" s="14" t="s">
        <v>11</v>
      </c>
      <c r="E4" s="14" t="s">
        <v>536</v>
      </c>
      <c r="F4" s="13" t="s">
        <v>537</v>
      </c>
      <c r="G4" s="12" t="s">
        <v>23</v>
      </c>
      <c r="H4" s="15"/>
      <c r="I4" s="15"/>
      <c r="J4" s="15">
        <f t="shared" ref="J4:J9" si="0">+ROUND(PRODUCT(H4*I4),0)</f>
        <v>0</v>
      </c>
    </row>
    <row r="5" ht="28.8" spans="1:10">
      <c r="A5" s="55"/>
      <c r="B5" s="55"/>
      <c r="C5" s="13" t="s">
        <v>536</v>
      </c>
      <c r="D5" s="14" t="s">
        <v>11</v>
      </c>
      <c r="E5" s="14" t="s">
        <v>536</v>
      </c>
      <c r="F5" s="13" t="s">
        <v>538</v>
      </c>
      <c r="G5" s="12" t="s">
        <v>23</v>
      </c>
      <c r="H5" s="15"/>
      <c r="I5" s="15"/>
      <c r="J5" s="15">
        <f t="shared" si="0"/>
        <v>0</v>
      </c>
    </row>
    <row r="6" ht="28.8" spans="1:10">
      <c r="A6" s="55"/>
      <c r="B6" s="55"/>
      <c r="C6" s="13" t="s">
        <v>536</v>
      </c>
      <c r="D6" s="14" t="s">
        <v>11</v>
      </c>
      <c r="E6" s="14" t="s">
        <v>536</v>
      </c>
      <c r="F6" s="13" t="s">
        <v>539</v>
      </c>
      <c r="G6" s="12" t="s">
        <v>23</v>
      </c>
      <c r="H6" s="15"/>
      <c r="I6" s="15"/>
      <c r="J6" s="15">
        <f t="shared" si="0"/>
        <v>0</v>
      </c>
    </row>
    <row r="7" ht="28.8" spans="1:10">
      <c r="A7" s="55"/>
      <c r="B7" s="55"/>
      <c r="C7" s="13" t="s">
        <v>536</v>
      </c>
      <c r="D7" s="14" t="s">
        <v>11</v>
      </c>
      <c r="E7" s="14" t="s">
        <v>536</v>
      </c>
      <c r="F7" s="13" t="s">
        <v>540</v>
      </c>
      <c r="G7" s="12" t="s">
        <v>23</v>
      </c>
      <c r="H7" s="15"/>
      <c r="I7" s="15"/>
      <c r="J7" s="15">
        <f t="shared" si="0"/>
        <v>0</v>
      </c>
    </row>
    <row r="8" ht="28.8" spans="1:10">
      <c r="A8" s="55"/>
      <c r="B8" s="55"/>
      <c r="C8" s="13" t="s">
        <v>536</v>
      </c>
      <c r="D8" s="14" t="s">
        <v>11</v>
      </c>
      <c r="E8" s="14" t="s">
        <v>536</v>
      </c>
      <c r="F8" s="13" t="s">
        <v>541</v>
      </c>
      <c r="G8" s="12" t="s">
        <v>23</v>
      </c>
      <c r="H8" s="15"/>
      <c r="I8" s="15"/>
      <c r="J8" s="15">
        <f t="shared" si="0"/>
        <v>0</v>
      </c>
    </row>
    <row r="9" ht="28.8" spans="1:10">
      <c r="A9" s="55"/>
      <c r="B9" s="55"/>
      <c r="C9" s="13" t="s">
        <v>536</v>
      </c>
      <c r="D9" s="14" t="s">
        <v>11</v>
      </c>
      <c r="E9" s="14" t="s">
        <v>536</v>
      </c>
      <c r="F9" s="13" t="s">
        <v>1120</v>
      </c>
      <c r="G9" s="12" t="s">
        <v>23</v>
      </c>
      <c r="H9" s="15"/>
      <c r="I9" s="15"/>
      <c r="J9" s="15">
        <f t="shared" si="0"/>
        <v>0</v>
      </c>
    </row>
    <row r="10" ht="28.8" spans="1:10">
      <c r="A10" s="55"/>
      <c r="B10" s="55"/>
      <c r="C10" s="13" t="s">
        <v>536</v>
      </c>
      <c r="D10" s="14" t="s">
        <v>11</v>
      </c>
      <c r="E10" s="14" t="s">
        <v>536</v>
      </c>
      <c r="F10" s="13" t="s">
        <v>542</v>
      </c>
      <c r="G10" s="12" t="s">
        <v>23</v>
      </c>
      <c r="H10" s="15"/>
      <c r="I10" s="15"/>
      <c r="J10" s="15">
        <f t="shared" ref="J10:J74" si="1">+ROUND(PRODUCT(H10*I10),0)</f>
        <v>0</v>
      </c>
    </row>
    <row r="11" ht="28.8" spans="1:10">
      <c r="A11" s="55"/>
      <c r="B11" s="55"/>
      <c r="C11" s="13" t="s">
        <v>536</v>
      </c>
      <c r="D11" s="14" t="s">
        <v>11</v>
      </c>
      <c r="E11" s="14" t="s">
        <v>536</v>
      </c>
      <c r="F11" s="13" t="s">
        <v>543</v>
      </c>
      <c r="G11" s="12" t="s">
        <v>23</v>
      </c>
      <c r="H11" s="15"/>
      <c r="I11" s="15"/>
      <c r="J11" s="15">
        <f t="shared" si="1"/>
        <v>0</v>
      </c>
    </row>
    <row r="12" ht="28.8" spans="1:10">
      <c r="A12" s="55"/>
      <c r="B12" s="55"/>
      <c r="C12" s="13" t="s">
        <v>536</v>
      </c>
      <c r="D12" s="14" t="s">
        <v>11</v>
      </c>
      <c r="E12" s="14" t="s">
        <v>536</v>
      </c>
      <c r="F12" s="13" t="s">
        <v>1121</v>
      </c>
      <c r="G12" s="12" t="s">
        <v>23</v>
      </c>
      <c r="H12" s="15"/>
      <c r="I12" s="15"/>
      <c r="J12" s="15">
        <f t="shared" si="1"/>
        <v>0</v>
      </c>
    </row>
    <row r="13" ht="28.8" spans="1:10">
      <c r="A13" s="55"/>
      <c r="B13" s="55"/>
      <c r="C13" s="13" t="s">
        <v>536</v>
      </c>
      <c r="D13" s="14" t="s">
        <v>11</v>
      </c>
      <c r="E13" s="14" t="s">
        <v>536</v>
      </c>
      <c r="F13" s="13" t="s">
        <v>544</v>
      </c>
      <c r="G13" s="12" t="s">
        <v>23</v>
      </c>
      <c r="H13" s="15"/>
      <c r="I13" s="15"/>
      <c r="J13" s="15">
        <f t="shared" si="1"/>
        <v>0</v>
      </c>
    </row>
    <row r="14" ht="28.8" spans="1:10">
      <c r="A14" s="55"/>
      <c r="B14" s="55"/>
      <c r="C14" s="13" t="s">
        <v>536</v>
      </c>
      <c r="D14" s="14" t="s">
        <v>11</v>
      </c>
      <c r="E14" s="14" t="s">
        <v>536</v>
      </c>
      <c r="F14" s="13" t="s">
        <v>545</v>
      </c>
      <c r="G14" s="12" t="s">
        <v>23</v>
      </c>
      <c r="H14" s="15"/>
      <c r="I14" s="15"/>
      <c r="J14" s="15">
        <f t="shared" si="1"/>
        <v>0</v>
      </c>
    </row>
    <row r="15" ht="28.8" spans="1:10">
      <c r="A15" s="55"/>
      <c r="B15" s="55"/>
      <c r="C15" s="13" t="s">
        <v>536</v>
      </c>
      <c r="D15" s="14" t="s">
        <v>11</v>
      </c>
      <c r="E15" s="14" t="s">
        <v>536</v>
      </c>
      <c r="F15" s="13" t="s">
        <v>546</v>
      </c>
      <c r="G15" s="12" t="s">
        <v>23</v>
      </c>
      <c r="H15" s="15"/>
      <c r="I15" s="15"/>
      <c r="J15" s="15">
        <f t="shared" si="1"/>
        <v>0</v>
      </c>
    </row>
    <row r="16" ht="28.8" spans="1:10">
      <c r="A16" s="55"/>
      <c r="B16" s="55"/>
      <c r="C16" s="13" t="s">
        <v>536</v>
      </c>
      <c r="D16" s="14" t="s">
        <v>11</v>
      </c>
      <c r="E16" s="14" t="s">
        <v>536</v>
      </c>
      <c r="F16" s="13" t="s">
        <v>547</v>
      </c>
      <c r="G16" s="12" t="s">
        <v>49</v>
      </c>
      <c r="H16" s="15"/>
      <c r="I16" s="15"/>
      <c r="J16" s="15">
        <f t="shared" si="1"/>
        <v>0</v>
      </c>
    </row>
    <row r="17" ht="28.8" spans="1:10">
      <c r="A17" s="55"/>
      <c r="B17" s="55"/>
      <c r="C17" s="13" t="s">
        <v>536</v>
      </c>
      <c r="D17" s="14" t="s">
        <v>11</v>
      </c>
      <c r="E17" s="14" t="s">
        <v>536</v>
      </c>
      <c r="F17" s="13" t="s">
        <v>548</v>
      </c>
      <c r="G17" s="12" t="s">
        <v>23</v>
      </c>
      <c r="H17" s="15"/>
      <c r="I17" s="15"/>
      <c r="J17" s="15">
        <f t="shared" si="1"/>
        <v>0</v>
      </c>
    </row>
    <row r="18" ht="28.8" spans="1:10">
      <c r="A18" s="55"/>
      <c r="B18" s="55"/>
      <c r="C18" s="13" t="s">
        <v>536</v>
      </c>
      <c r="D18" s="14" t="s">
        <v>11</v>
      </c>
      <c r="E18" s="14" t="s">
        <v>536</v>
      </c>
      <c r="F18" s="13" t="s">
        <v>549</v>
      </c>
      <c r="G18" s="12" t="s">
        <v>23</v>
      </c>
      <c r="H18" s="15"/>
      <c r="I18" s="15"/>
      <c r="J18" s="15">
        <f t="shared" si="1"/>
        <v>0</v>
      </c>
    </row>
    <row r="19" ht="28.8" spans="1:10">
      <c r="A19" s="55"/>
      <c r="B19" s="55"/>
      <c r="C19" s="13" t="s">
        <v>536</v>
      </c>
      <c r="D19" s="14" t="s">
        <v>11</v>
      </c>
      <c r="E19" s="14" t="s">
        <v>536</v>
      </c>
      <c r="F19" s="13" t="s">
        <v>550</v>
      </c>
      <c r="G19" s="12" t="s">
        <v>23</v>
      </c>
      <c r="H19" s="15"/>
      <c r="I19" s="15"/>
      <c r="J19" s="15">
        <f t="shared" si="1"/>
        <v>0</v>
      </c>
    </row>
    <row r="20" ht="28.8" spans="1:10">
      <c r="A20" s="55"/>
      <c r="B20" s="55"/>
      <c r="C20" s="13" t="s">
        <v>536</v>
      </c>
      <c r="D20" s="14" t="s">
        <v>11</v>
      </c>
      <c r="E20" s="14" t="s">
        <v>536</v>
      </c>
      <c r="F20" s="13" t="s">
        <v>551</v>
      </c>
      <c r="G20" s="12" t="s">
        <v>49</v>
      </c>
      <c r="H20" s="20"/>
      <c r="I20" s="15"/>
      <c r="J20" s="15">
        <f t="shared" si="1"/>
        <v>0</v>
      </c>
    </row>
    <row r="21" ht="28.8" spans="1:10">
      <c r="A21" s="55"/>
      <c r="B21" s="55"/>
      <c r="C21" s="13" t="s">
        <v>536</v>
      </c>
      <c r="D21" s="14" t="s">
        <v>11</v>
      </c>
      <c r="E21" s="14" t="s">
        <v>536</v>
      </c>
      <c r="F21" s="13" t="s">
        <v>552</v>
      </c>
      <c r="G21" s="12" t="s">
        <v>23</v>
      </c>
      <c r="H21" s="15"/>
      <c r="I21" s="15"/>
      <c r="J21" s="15">
        <f t="shared" si="1"/>
        <v>0</v>
      </c>
    </row>
    <row r="22" ht="28.8" spans="1:10">
      <c r="A22" s="55"/>
      <c r="B22" s="55"/>
      <c r="C22" s="13" t="s">
        <v>536</v>
      </c>
      <c r="D22" s="14" t="s">
        <v>11</v>
      </c>
      <c r="E22" s="14" t="s">
        <v>536</v>
      </c>
      <c r="F22" s="13" t="s">
        <v>553</v>
      </c>
      <c r="G22" s="12" t="s">
        <v>23</v>
      </c>
      <c r="H22" s="15"/>
      <c r="I22" s="15"/>
      <c r="J22" s="15">
        <f t="shared" si="1"/>
        <v>0</v>
      </c>
    </row>
    <row r="23" ht="28.8" spans="1:10">
      <c r="A23" s="55"/>
      <c r="B23" s="55"/>
      <c r="C23" s="13" t="s">
        <v>536</v>
      </c>
      <c r="D23" s="14" t="s">
        <v>11</v>
      </c>
      <c r="E23" s="14" t="s">
        <v>536</v>
      </c>
      <c r="F23" s="13" t="s">
        <v>554</v>
      </c>
      <c r="G23" s="12" t="s">
        <v>42</v>
      </c>
      <c r="H23" s="15"/>
      <c r="I23" s="15"/>
      <c r="J23" s="15">
        <f t="shared" si="1"/>
        <v>0</v>
      </c>
    </row>
    <row r="24" ht="28.8" spans="1:10">
      <c r="A24" s="55"/>
      <c r="B24" s="55"/>
      <c r="C24" s="13" t="s">
        <v>536</v>
      </c>
      <c r="D24" s="14" t="s">
        <v>11</v>
      </c>
      <c r="E24" s="14" t="s">
        <v>536</v>
      </c>
      <c r="F24" s="13" t="s">
        <v>555</v>
      </c>
      <c r="G24" s="12" t="s">
        <v>23</v>
      </c>
      <c r="H24" s="15"/>
      <c r="I24" s="15"/>
      <c r="J24" s="15">
        <f t="shared" si="1"/>
        <v>0</v>
      </c>
    </row>
    <row r="25" ht="28.8" spans="1:10">
      <c r="A25" s="55"/>
      <c r="B25" s="55"/>
      <c r="C25" s="13" t="s">
        <v>536</v>
      </c>
      <c r="D25" s="14" t="s">
        <v>11</v>
      </c>
      <c r="E25" s="14" t="s">
        <v>536</v>
      </c>
      <c r="F25" s="13" t="s">
        <v>556</v>
      </c>
      <c r="G25" s="12" t="s">
        <v>23</v>
      </c>
      <c r="H25" s="15"/>
      <c r="I25" s="15"/>
      <c r="J25" s="15">
        <f t="shared" si="1"/>
        <v>0</v>
      </c>
    </row>
    <row r="26" ht="28.8" spans="1:10">
      <c r="A26" s="55"/>
      <c r="B26" s="55"/>
      <c r="C26" s="13" t="s">
        <v>536</v>
      </c>
      <c r="D26" s="14" t="s">
        <v>20</v>
      </c>
      <c r="E26" s="14" t="s">
        <v>457</v>
      </c>
      <c r="F26" s="13" t="s">
        <v>557</v>
      </c>
      <c r="G26" s="12" t="s">
        <v>23</v>
      </c>
      <c r="H26" s="15"/>
      <c r="I26" s="15"/>
      <c r="J26" s="15">
        <f t="shared" si="1"/>
        <v>0</v>
      </c>
    </row>
    <row r="27" ht="28.8" spans="1:10">
      <c r="A27" s="55"/>
      <c r="B27" s="55"/>
      <c r="C27" s="13" t="s">
        <v>536</v>
      </c>
      <c r="D27" s="14" t="s">
        <v>20</v>
      </c>
      <c r="E27" s="14" t="s">
        <v>457</v>
      </c>
      <c r="F27" s="13" t="s">
        <v>558</v>
      </c>
      <c r="G27" s="12" t="s">
        <v>23</v>
      </c>
      <c r="H27" s="15"/>
      <c r="I27" s="15"/>
      <c r="J27" s="15">
        <f t="shared" si="1"/>
        <v>0</v>
      </c>
    </row>
    <row r="28" ht="28.8" spans="1:10">
      <c r="A28" s="55"/>
      <c r="B28" s="55"/>
      <c r="C28" s="13" t="s">
        <v>536</v>
      </c>
      <c r="D28" s="14" t="s">
        <v>20</v>
      </c>
      <c r="E28" s="14" t="s">
        <v>457</v>
      </c>
      <c r="F28" s="13" t="s">
        <v>559</v>
      </c>
      <c r="G28" s="12" t="s">
        <v>23</v>
      </c>
      <c r="H28" s="15"/>
      <c r="I28" s="15"/>
      <c r="J28" s="15">
        <f t="shared" si="1"/>
        <v>0</v>
      </c>
    </row>
    <row r="29" ht="28.8" spans="1:10">
      <c r="A29" s="55"/>
      <c r="B29" s="55"/>
      <c r="C29" s="13" t="s">
        <v>536</v>
      </c>
      <c r="D29" s="14" t="s">
        <v>20</v>
      </c>
      <c r="E29" s="14" t="s">
        <v>457</v>
      </c>
      <c r="F29" s="13" t="s">
        <v>560</v>
      </c>
      <c r="G29" s="12" t="s">
        <v>23</v>
      </c>
      <c r="H29" s="15"/>
      <c r="I29" s="15"/>
      <c r="J29" s="15">
        <f t="shared" si="1"/>
        <v>0</v>
      </c>
    </row>
    <row r="30" ht="28.8" spans="1:10">
      <c r="A30" s="55"/>
      <c r="B30" s="55"/>
      <c r="C30" s="13" t="s">
        <v>536</v>
      </c>
      <c r="D30" s="14" t="s">
        <v>20</v>
      </c>
      <c r="E30" s="14" t="s">
        <v>457</v>
      </c>
      <c r="F30" s="13" t="s">
        <v>561</v>
      </c>
      <c r="G30" s="12" t="s">
        <v>23</v>
      </c>
      <c r="H30" s="15"/>
      <c r="I30" s="15"/>
      <c r="J30" s="15">
        <f t="shared" si="1"/>
        <v>0</v>
      </c>
    </row>
    <row r="31" ht="28.8" spans="1:10">
      <c r="A31" s="55"/>
      <c r="B31" s="55"/>
      <c r="C31" s="13" t="s">
        <v>536</v>
      </c>
      <c r="D31" s="14" t="s">
        <v>20</v>
      </c>
      <c r="E31" s="14" t="s">
        <v>457</v>
      </c>
      <c r="F31" s="13" t="s">
        <v>562</v>
      </c>
      <c r="G31" s="12" t="s">
        <v>23</v>
      </c>
      <c r="H31" s="15"/>
      <c r="I31" s="15"/>
      <c r="J31" s="15">
        <f t="shared" si="1"/>
        <v>0</v>
      </c>
    </row>
    <row r="32" ht="28.8" spans="1:10">
      <c r="A32" s="55"/>
      <c r="B32" s="55"/>
      <c r="C32" s="13" t="s">
        <v>536</v>
      </c>
      <c r="D32" s="14" t="s">
        <v>20</v>
      </c>
      <c r="E32" s="14" t="s">
        <v>457</v>
      </c>
      <c r="F32" s="13" t="s">
        <v>563</v>
      </c>
      <c r="G32" s="12" t="s">
        <v>23</v>
      </c>
      <c r="H32" s="15"/>
      <c r="I32" s="15"/>
      <c r="J32" s="15">
        <f t="shared" si="1"/>
        <v>0</v>
      </c>
    </row>
    <row r="33" ht="28.8" spans="1:10">
      <c r="A33" s="55"/>
      <c r="B33" s="55"/>
      <c r="C33" s="13" t="s">
        <v>536</v>
      </c>
      <c r="D33" s="14" t="s">
        <v>20</v>
      </c>
      <c r="E33" s="14" t="s">
        <v>457</v>
      </c>
      <c r="F33" s="13" t="s">
        <v>564</v>
      </c>
      <c r="G33" s="12" t="s">
        <v>23</v>
      </c>
      <c r="H33" s="15"/>
      <c r="I33" s="15"/>
      <c r="J33" s="15">
        <f t="shared" si="1"/>
        <v>0</v>
      </c>
    </row>
    <row r="34" ht="28.8" spans="1:10">
      <c r="A34" s="55"/>
      <c r="B34" s="55"/>
      <c r="C34" s="13" t="s">
        <v>536</v>
      </c>
      <c r="D34" s="14" t="s">
        <v>20</v>
      </c>
      <c r="E34" s="14" t="s">
        <v>457</v>
      </c>
      <c r="F34" s="13" t="s">
        <v>565</v>
      </c>
      <c r="G34" s="12" t="s">
        <v>23</v>
      </c>
      <c r="H34" s="15"/>
      <c r="I34" s="15"/>
      <c r="J34" s="15">
        <f t="shared" si="1"/>
        <v>0</v>
      </c>
    </row>
    <row r="35" ht="28.8" spans="1:10">
      <c r="A35" s="55"/>
      <c r="B35" s="55"/>
      <c r="C35" s="13" t="s">
        <v>536</v>
      </c>
      <c r="D35" s="14" t="s">
        <v>20</v>
      </c>
      <c r="E35" s="14" t="s">
        <v>457</v>
      </c>
      <c r="F35" s="13" t="s">
        <v>458</v>
      </c>
      <c r="G35" s="12" t="s">
        <v>23</v>
      </c>
      <c r="H35" s="15"/>
      <c r="I35" s="15"/>
      <c r="J35" s="15">
        <f t="shared" si="1"/>
        <v>0</v>
      </c>
    </row>
    <row r="36" ht="28.8" spans="1:10">
      <c r="A36" s="55"/>
      <c r="B36" s="55"/>
      <c r="C36" s="13" t="s">
        <v>536</v>
      </c>
      <c r="D36" s="14" t="s">
        <v>20</v>
      </c>
      <c r="E36" s="14" t="s">
        <v>457</v>
      </c>
      <c r="F36" s="13" t="s">
        <v>566</v>
      </c>
      <c r="G36" s="12" t="s">
        <v>23</v>
      </c>
      <c r="H36" s="15"/>
      <c r="I36" s="15"/>
      <c r="J36" s="15">
        <f t="shared" si="1"/>
        <v>0</v>
      </c>
    </row>
    <row r="37" ht="28.8" spans="1:10">
      <c r="A37" s="55"/>
      <c r="B37" s="55"/>
      <c r="C37" s="13" t="s">
        <v>536</v>
      </c>
      <c r="D37" s="14" t="s">
        <v>20</v>
      </c>
      <c r="E37" s="14" t="s">
        <v>457</v>
      </c>
      <c r="F37" s="13" t="s">
        <v>567</v>
      </c>
      <c r="G37" s="12" t="s">
        <v>23</v>
      </c>
      <c r="H37" s="15"/>
      <c r="I37" s="15"/>
      <c r="J37" s="15">
        <f t="shared" si="1"/>
        <v>0</v>
      </c>
    </row>
    <row r="38" ht="28.8" spans="1:10">
      <c r="A38" s="55"/>
      <c r="B38" s="55"/>
      <c r="C38" s="13" t="s">
        <v>536</v>
      </c>
      <c r="D38" s="14" t="s">
        <v>20</v>
      </c>
      <c r="E38" s="14" t="s">
        <v>457</v>
      </c>
      <c r="F38" s="13" t="s">
        <v>568</v>
      </c>
      <c r="G38" s="12" t="s">
        <v>23</v>
      </c>
      <c r="H38" s="15"/>
      <c r="I38" s="15"/>
      <c r="J38" s="15">
        <f t="shared" si="1"/>
        <v>0</v>
      </c>
    </row>
    <row r="39" ht="28.8" spans="1:10">
      <c r="A39" s="55"/>
      <c r="B39" s="55"/>
      <c r="C39" s="13" t="s">
        <v>536</v>
      </c>
      <c r="D39" s="14" t="s">
        <v>20</v>
      </c>
      <c r="E39" s="14" t="s">
        <v>457</v>
      </c>
      <c r="F39" s="13" t="s">
        <v>569</v>
      </c>
      <c r="G39" s="12" t="s">
        <v>23</v>
      </c>
      <c r="H39" s="15"/>
      <c r="I39" s="15"/>
      <c r="J39" s="15">
        <f t="shared" si="1"/>
        <v>0</v>
      </c>
    </row>
    <row r="40" ht="28.8" spans="1:10">
      <c r="A40" s="55"/>
      <c r="B40" s="55"/>
      <c r="C40" s="13" t="s">
        <v>536</v>
      </c>
      <c r="D40" s="14" t="s">
        <v>20</v>
      </c>
      <c r="E40" s="14" t="s">
        <v>457</v>
      </c>
      <c r="F40" s="13" t="s">
        <v>570</v>
      </c>
      <c r="G40" s="12" t="s">
        <v>23</v>
      </c>
      <c r="H40" s="15"/>
      <c r="I40" s="15"/>
      <c r="J40" s="15">
        <f t="shared" si="1"/>
        <v>0</v>
      </c>
    </row>
    <row r="41" ht="28.8" spans="1:10">
      <c r="A41" s="55"/>
      <c r="B41" s="55"/>
      <c r="C41" s="13" t="s">
        <v>536</v>
      </c>
      <c r="D41" s="14" t="s">
        <v>20</v>
      </c>
      <c r="E41" s="14" t="s">
        <v>457</v>
      </c>
      <c r="F41" s="13" t="s">
        <v>571</v>
      </c>
      <c r="G41" s="12" t="s">
        <v>23</v>
      </c>
      <c r="H41" s="15"/>
      <c r="I41" s="15"/>
      <c r="J41" s="15">
        <f t="shared" si="1"/>
        <v>0</v>
      </c>
    </row>
    <row r="42" ht="28.8" spans="1:10">
      <c r="A42" s="55"/>
      <c r="B42" s="55"/>
      <c r="C42" s="13" t="s">
        <v>536</v>
      </c>
      <c r="D42" s="14" t="s">
        <v>20</v>
      </c>
      <c r="E42" s="14" t="s">
        <v>457</v>
      </c>
      <c r="F42" s="13" t="s">
        <v>572</v>
      </c>
      <c r="G42" s="12" t="s">
        <v>23</v>
      </c>
      <c r="H42" s="15"/>
      <c r="I42" s="15"/>
      <c r="J42" s="15">
        <f t="shared" si="1"/>
        <v>0</v>
      </c>
    </row>
    <row r="43" ht="28.8" spans="1:10">
      <c r="A43" s="55"/>
      <c r="B43" s="55"/>
      <c r="C43" s="13" t="s">
        <v>536</v>
      </c>
      <c r="D43" s="14" t="s">
        <v>20</v>
      </c>
      <c r="E43" s="14" t="s">
        <v>61</v>
      </c>
      <c r="F43" s="13" t="s">
        <v>573</v>
      </c>
      <c r="G43" s="12" t="s">
        <v>23</v>
      </c>
      <c r="H43" s="15"/>
      <c r="I43" s="15"/>
      <c r="J43" s="15">
        <f t="shared" si="1"/>
        <v>0</v>
      </c>
    </row>
    <row r="44" ht="28.8" spans="1:10">
      <c r="A44" s="55"/>
      <c r="B44" s="55"/>
      <c r="C44" s="13" t="s">
        <v>536</v>
      </c>
      <c r="D44" s="14" t="s">
        <v>20</v>
      </c>
      <c r="E44" s="14" t="s">
        <v>61</v>
      </c>
      <c r="F44" s="13" t="s">
        <v>574</v>
      </c>
      <c r="G44" s="12" t="s">
        <v>23</v>
      </c>
      <c r="H44" s="15"/>
      <c r="I44" s="15"/>
      <c r="J44" s="15">
        <f t="shared" si="1"/>
        <v>0</v>
      </c>
    </row>
    <row r="45" ht="28.8" spans="1:10">
      <c r="A45" s="55"/>
      <c r="B45" s="55"/>
      <c r="C45" s="13" t="s">
        <v>536</v>
      </c>
      <c r="D45" s="14" t="s">
        <v>20</v>
      </c>
      <c r="E45" s="14" t="s">
        <v>61</v>
      </c>
      <c r="F45" s="13" t="s">
        <v>575</v>
      </c>
      <c r="G45" s="12" t="s">
        <v>23</v>
      </c>
      <c r="H45" s="15"/>
      <c r="I45" s="15"/>
      <c r="J45" s="15">
        <f t="shared" si="1"/>
        <v>0</v>
      </c>
    </row>
    <row r="46" ht="28.8" spans="1:10">
      <c r="A46" s="55"/>
      <c r="B46" s="55"/>
      <c r="C46" s="13" t="s">
        <v>536</v>
      </c>
      <c r="D46" s="14" t="s">
        <v>20</v>
      </c>
      <c r="E46" s="14" t="s">
        <v>576</v>
      </c>
      <c r="F46" s="13" t="s">
        <v>577</v>
      </c>
      <c r="G46" s="12" t="s">
        <v>23</v>
      </c>
      <c r="H46" s="15"/>
      <c r="I46" s="15"/>
      <c r="J46" s="15">
        <f t="shared" si="1"/>
        <v>0</v>
      </c>
    </row>
    <row r="47" ht="28.8" spans="1:10">
      <c r="A47" s="55"/>
      <c r="B47" s="55"/>
      <c r="C47" s="13" t="s">
        <v>536</v>
      </c>
      <c r="D47" s="14" t="s">
        <v>20</v>
      </c>
      <c r="E47" s="14" t="s">
        <v>268</v>
      </c>
      <c r="F47" s="13" t="s">
        <v>578</v>
      </c>
      <c r="G47" s="12" t="s">
        <v>42</v>
      </c>
      <c r="H47" s="15"/>
      <c r="I47" s="15"/>
      <c r="J47" s="15">
        <f t="shared" si="1"/>
        <v>0</v>
      </c>
    </row>
    <row r="48" ht="28.8" spans="1:10">
      <c r="A48" s="55"/>
      <c r="B48" s="55"/>
      <c r="C48" s="13" t="s">
        <v>536</v>
      </c>
      <c r="D48" s="14" t="s">
        <v>20</v>
      </c>
      <c r="E48" s="14" t="s">
        <v>114</v>
      </c>
      <c r="F48" s="13" t="s">
        <v>579</v>
      </c>
      <c r="G48" s="12" t="s">
        <v>23</v>
      </c>
      <c r="H48" s="15"/>
      <c r="I48" s="15"/>
      <c r="J48" s="15">
        <f t="shared" si="1"/>
        <v>0</v>
      </c>
    </row>
    <row r="49" ht="28.8" spans="1:10">
      <c r="A49" s="55"/>
      <c r="B49" s="55"/>
      <c r="C49" s="13" t="s">
        <v>581</v>
      </c>
      <c r="D49" s="14" t="s">
        <v>11</v>
      </c>
      <c r="E49" s="14" t="s">
        <v>12</v>
      </c>
      <c r="F49" s="13" t="s">
        <v>13</v>
      </c>
      <c r="G49" s="12" t="s">
        <v>14</v>
      </c>
      <c r="H49" s="15"/>
      <c r="I49" s="15"/>
      <c r="J49" s="15">
        <f t="shared" si="1"/>
        <v>0</v>
      </c>
    </row>
    <row r="50" spans="1:10">
      <c r="A50" s="55"/>
      <c r="B50" s="55"/>
      <c r="C50" s="13" t="s">
        <v>591</v>
      </c>
      <c r="D50" s="14" t="s">
        <v>20</v>
      </c>
      <c r="E50" s="14" t="s">
        <v>61</v>
      </c>
      <c r="F50" s="13" t="s">
        <v>592</v>
      </c>
      <c r="G50" s="12" t="s">
        <v>175</v>
      </c>
      <c r="H50" s="15"/>
      <c r="I50" s="15"/>
      <c r="J50" s="15">
        <f t="shared" si="1"/>
        <v>0</v>
      </c>
    </row>
    <row r="51" spans="1:10">
      <c r="A51" s="55"/>
      <c r="B51" s="55"/>
      <c r="C51" s="13" t="s">
        <v>1122</v>
      </c>
      <c r="D51" s="14" t="s">
        <v>20</v>
      </c>
      <c r="E51" s="14" t="s">
        <v>600</v>
      </c>
      <c r="F51" s="13" t="s">
        <v>601</v>
      </c>
      <c r="G51" s="12" t="s">
        <v>63</v>
      </c>
      <c r="H51" s="15"/>
      <c r="I51" s="15"/>
      <c r="J51" s="15">
        <f t="shared" si="1"/>
        <v>0</v>
      </c>
    </row>
    <row r="52" ht="28.8" spans="1:10">
      <c r="A52" s="55"/>
      <c r="B52" s="55"/>
      <c r="C52" s="13" t="s">
        <v>1123</v>
      </c>
      <c r="D52" s="14" t="s">
        <v>20</v>
      </c>
      <c r="E52" s="14" t="s">
        <v>47</v>
      </c>
      <c r="F52" s="13" t="s">
        <v>50</v>
      </c>
      <c r="G52" s="12" t="s">
        <v>49</v>
      </c>
      <c r="H52" s="15"/>
      <c r="I52" s="15"/>
      <c r="J52" s="15">
        <f t="shared" si="1"/>
        <v>0</v>
      </c>
    </row>
    <row r="53" ht="28.8" spans="1:10">
      <c r="A53" s="55"/>
      <c r="B53" s="55"/>
      <c r="C53" s="13" t="s">
        <v>1123</v>
      </c>
      <c r="D53" s="14" t="s">
        <v>20</v>
      </c>
      <c r="E53" s="14" t="s">
        <v>61</v>
      </c>
      <c r="F53" s="13" t="s">
        <v>78</v>
      </c>
      <c r="G53" s="12" t="s">
        <v>49</v>
      </c>
      <c r="H53" s="15"/>
      <c r="I53" s="15"/>
      <c r="J53" s="15">
        <f t="shared" si="1"/>
        <v>0</v>
      </c>
    </row>
    <row r="54" ht="28.8" spans="1:10">
      <c r="A54" s="55"/>
      <c r="B54" s="55"/>
      <c r="C54" s="13" t="s">
        <v>1123</v>
      </c>
      <c r="D54" s="14" t="s">
        <v>20</v>
      </c>
      <c r="E54" s="14" t="s">
        <v>84</v>
      </c>
      <c r="F54" s="13" t="s">
        <v>86</v>
      </c>
      <c r="G54" s="12" t="s">
        <v>49</v>
      </c>
      <c r="H54" s="15"/>
      <c r="I54" s="15"/>
      <c r="J54" s="15">
        <f t="shared" si="1"/>
        <v>0</v>
      </c>
    </row>
    <row r="55" ht="28.8" spans="1:10">
      <c r="A55" s="55"/>
      <c r="B55" s="55"/>
      <c r="C55" s="13" t="s">
        <v>1123</v>
      </c>
      <c r="D55" s="14" t="s">
        <v>20</v>
      </c>
      <c r="E55" s="14" t="s">
        <v>84</v>
      </c>
      <c r="F55" s="13" t="s">
        <v>88</v>
      </c>
      <c r="G55" s="12" t="s">
        <v>49</v>
      </c>
      <c r="H55" s="15"/>
      <c r="I55" s="15"/>
      <c r="J55" s="15">
        <f t="shared" si="1"/>
        <v>0</v>
      </c>
    </row>
    <row r="56" ht="28.8" spans="1:10">
      <c r="A56" s="55"/>
      <c r="B56" s="55"/>
      <c r="C56" s="13" t="s">
        <v>1123</v>
      </c>
      <c r="D56" s="14" t="s">
        <v>20</v>
      </c>
      <c r="E56" s="14" t="s">
        <v>84</v>
      </c>
      <c r="F56" s="13" t="s">
        <v>89</v>
      </c>
      <c r="G56" s="12" t="s">
        <v>49</v>
      </c>
      <c r="H56" s="15"/>
      <c r="I56" s="15"/>
      <c r="J56" s="15">
        <f t="shared" si="1"/>
        <v>0</v>
      </c>
    </row>
    <row r="57" ht="28.8" spans="1:10">
      <c r="A57" s="55"/>
      <c r="B57" s="55"/>
      <c r="C57" s="13" t="s">
        <v>1124</v>
      </c>
      <c r="D57" s="14" t="s">
        <v>20</v>
      </c>
      <c r="E57" s="14" t="s">
        <v>84</v>
      </c>
      <c r="F57" s="13" t="s">
        <v>608</v>
      </c>
      <c r="G57" s="12" t="s">
        <v>100</v>
      </c>
      <c r="H57" s="15"/>
      <c r="I57" s="15"/>
      <c r="J57" s="15">
        <f t="shared" si="1"/>
        <v>0</v>
      </c>
    </row>
    <row r="58" ht="28.8" spans="1:10">
      <c r="A58" s="55"/>
      <c r="B58" s="55"/>
      <c r="C58" s="13" t="s">
        <v>1123</v>
      </c>
      <c r="D58" s="14" t="s">
        <v>20</v>
      </c>
      <c r="E58" s="14" t="s">
        <v>84</v>
      </c>
      <c r="F58" s="13" t="s">
        <v>1125</v>
      </c>
      <c r="G58" s="12" t="s">
        <v>63</v>
      </c>
      <c r="H58" s="15"/>
      <c r="I58" s="15"/>
      <c r="J58" s="15">
        <f t="shared" si="1"/>
        <v>0</v>
      </c>
    </row>
    <row r="59" ht="28.8" spans="1:10">
      <c r="A59" s="55"/>
      <c r="B59" s="55"/>
      <c r="C59" s="13" t="s">
        <v>1124</v>
      </c>
      <c r="D59" s="14" t="s">
        <v>20</v>
      </c>
      <c r="E59" s="14" t="s">
        <v>84</v>
      </c>
      <c r="F59" s="13" t="s">
        <v>683</v>
      </c>
      <c r="G59" s="12" t="s">
        <v>611</v>
      </c>
      <c r="H59" s="15"/>
      <c r="I59" s="15"/>
      <c r="J59" s="15">
        <f t="shared" si="1"/>
        <v>0</v>
      </c>
    </row>
    <row r="60" ht="28.8" spans="1:10">
      <c r="A60" s="55"/>
      <c r="B60" s="55"/>
      <c r="C60" s="13" t="s">
        <v>1124</v>
      </c>
      <c r="D60" s="14" t="s">
        <v>20</v>
      </c>
      <c r="E60" s="14" t="s">
        <v>84</v>
      </c>
      <c r="F60" s="13" t="s">
        <v>610</v>
      </c>
      <c r="G60" s="12" t="s">
        <v>611</v>
      </c>
      <c r="H60" s="15"/>
      <c r="I60" s="15"/>
      <c r="J60" s="15">
        <f t="shared" si="1"/>
        <v>0</v>
      </c>
    </row>
    <row r="61" ht="28.8" spans="1:10">
      <c r="A61" s="55"/>
      <c r="B61" s="55"/>
      <c r="C61" s="13" t="s">
        <v>1124</v>
      </c>
      <c r="D61" s="14" t="s">
        <v>20</v>
      </c>
      <c r="E61" s="14" t="s">
        <v>84</v>
      </c>
      <c r="F61" s="13" t="s">
        <v>612</v>
      </c>
      <c r="G61" s="12" t="s">
        <v>611</v>
      </c>
      <c r="H61" s="15"/>
      <c r="I61" s="15"/>
      <c r="J61" s="15">
        <f t="shared" si="1"/>
        <v>0</v>
      </c>
    </row>
    <row r="62" ht="28.8" spans="1:10">
      <c r="A62" s="55"/>
      <c r="B62" s="55"/>
      <c r="C62" s="13" t="s">
        <v>1123</v>
      </c>
      <c r="D62" s="14" t="s">
        <v>20</v>
      </c>
      <c r="E62" s="14" t="s">
        <v>84</v>
      </c>
      <c r="F62" s="13" t="s">
        <v>684</v>
      </c>
      <c r="G62" s="12" t="s">
        <v>23</v>
      </c>
      <c r="H62" s="15"/>
      <c r="I62" s="15"/>
      <c r="J62" s="15">
        <f t="shared" si="1"/>
        <v>0</v>
      </c>
    </row>
    <row r="63" ht="28.8" spans="1:10">
      <c r="A63" s="55"/>
      <c r="B63" s="55"/>
      <c r="C63" s="13" t="s">
        <v>1123</v>
      </c>
      <c r="D63" s="14" t="s">
        <v>20</v>
      </c>
      <c r="E63" s="14" t="s">
        <v>106</v>
      </c>
      <c r="F63" s="13" t="s">
        <v>107</v>
      </c>
      <c r="G63" s="12" t="s">
        <v>108</v>
      </c>
      <c r="H63" s="15"/>
      <c r="I63" s="15"/>
      <c r="J63" s="15">
        <f t="shared" si="1"/>
        <v>0</v>
      </c>
    </row>
    <row r="64" ht="28.8" spans="1:10">
      <c r="A64" s="55"/>
      <c r="B64" s="55"/>
      <c r="C64" s="13" t="s">
        <v>1123</v>
      </c>
      <c r="D64" s="14" t="s">
        <v>20</v>
      </c>
      <c r="E64" s="14" t="s">
        <v>106</v>
      </c>
      <c r="F64" s="13" t="s">
        <v>110</v>
      </c>
      <c r="G64" s="12" t="s">
        <v>108</v>
      </c>
      <c r="H64" s="15"/>
      <c r="I64" s="15"/>
      <c r="J64" s="15">
        <f t="shared" si="1"/>
        <v>0</v>
      </c>
    </row>
    <row r="65" ht="28.8" spans="1:10">
      <c r="A65" s="55"/>
      <c r="B65" s="55"/>
      <c r="C65" s="13" t="s">
        <v>1123</v>
      </c>
      <c r="D65" s="14" t="s">
        <v>20</v>
      </c>
      <c r="E65" s="14" t="s">
        <v>106</v>
      </c>
      <c r="F65" s="13" t="s">
        <v>669</v>
      </c>
      <c r="G65" s="12" t="s">
        <v>108</v>
      </c>
      <c r="H65" s="15"/>
      <c r="I65" s="15"/>
      <c r="J65" s="15">
        <f t="shared" si="1"/>
        <v>0</v>
      </c>
    </row>
    <row r="66" ht="28.8" spans="1:10">
      <c r="A66" s="55"/>
      <c r="B66" s="55"/>
      <c r="C66" s="13" t="s">
        <v>1123</v>
      </c>
      <c r="D66" s="14" t="s">
        <v>20</v>
      </c>
      <c r="E66" s="14" t="s">
        <v>106</v>
      </c>
      <c r="F66" s="13" t="s">
        <v>675</v>
      </c>
      <c r="G66" s="12" t="s">
        <v>108</v>
      </c>
      <c r="H66" s="15"/>
      <c r="I66" s="15"/>
      <c r="J66" s="15">
        <f t="shared" si="1"/>
        <v>0</v>
      </c>
    </row>
    <row r="67" ht="28.8" spans="1:10">
      <c r="A67" s="55"/>
      <c r="B67" s="55"/>
      <c r="C67" s="13" t="s">
        <v>1123</v>
      </c>
      <c r="D67" s="14" t="s">
        <v>20</v>
      </c>
      <c r="E67" s="14" t="s">
        <v>59</v>
      </c>
      <c r="F67" s="13" t="s">
        <v>1126</v>
      </c>
      <c r="G67" s="12" t="s">
        <v>49</v>
      </c>
      <c r="H67" s="15"/>
      <c r="I67" s="15"/>
      <c r="J67" s="15">
        <f t="shared" si="1"/>
        <v>0</v>
      </c>
    </row>
    <row r="68" ht="28.8" spans="1:10">
      <c r="A68" s="55"/>
      <c r="B68" s="55"/>
      <c r="C68" s="13" t="s">
        <v>1123</v>
      </c>
      <c r="D68" s="14" t="s">
        <v>20</v>
      </c>
      <c r="E68" s="14" t="s">
        <v>59</v>
      </c>
      <c r="F68" s="13" t="s">
        <v>1127</v>
      </c>
      <c r="G68" s="12" t="s">
        <v>49</v>
      </c>
      <c r="H68" s="15"/>
      <c r="I68" s="15"/>
      <c r="J68" s="15">
        <f t="shared" si="1"/>
        <v>0</v>
      </c>
    </row>
    <row r="69" ht="28.8" spans="1:10">
      <c r="A69" s="55"/>
      <c r="B69" s="55"/>
      <c r="C69" s="13" t="s">
        <v>1123</v>
      </c>
      <c r="D69" s="14" t="s">
        <v>20</v>
      </c>
      <c r="E69" s="14" t="s">
        <v>59</v>
      </c>
      <c r="F69" s="13" t="s">
        <v>1128</v>
      </c>
      <c r="G69" s="12" t="s">
        <v>49</v>
      </c>
      <c r="H69" s="15"/>
      <c r="I69" s="15"/>
      <c r="J69" s="15">
        <f t="shared" si="1"/>
        <v>0</v>
      </c>
    </row>
    <row r="70" ht="28.8" spans="1:10">
      <c r="A70" s="55"/>
      <c r="B70" s="55"/>
      <c r="C70" s="13" t="s">
        <v>1129</v>
      </c>
      <c r="D70" s="14" t="s">
        <v>20</v>
      </c>
      <c r="E70" s="14" t="s">
        <v>112</v>
      </c>
      <c r="F70" s="13" t="s">
        <v>113</v>
      </c>
      <c r="G70" s="14" t="s">
        <v>46</v>
      </c>
      <c r="H70" s="15"/>
      <c r="I70" s="15"/>
      <c r="J70" s="15">
        <f t="shared" si="1"/>
        <v>0</v>
      </c>
    </row>
    <row r="71" ht="28.8" spans="1:10">
      <c r="A71" s="55"/>
      <c r="B71" s="55"/>
      <c r="C71" s="13" t="s">
        <v>1123</v>
      </c>
      <c r="D71" s="14" t="s">
        <v>20</v>
      </c>
      <c r="E71" s="14" t="s">
        <v>114</v>
      </c>
      <c r="F71" s="13" t="s">
        <v>579</v>
      </c>
      <c r="G71" s="14" t="s">
        <v>23</v>
      </c>
      <c r="H71" s="15"/>
      <c r="I71" s="15"/>
      <c r="J71" s="15">
        <f t="shared" si="1"/>
        <v>0</v>
      </c>
    </row>
    <row r="72" ht="28.8" spans="1:10">
      <c r="A72" s="55"/>
      <c r="B72" s="55"/>
      <c r="C72" s="13" t="s">
        <v>1123</v>
      </c>
      <c r="D72" s="14" t="s">
        <v>20</v>
      </c>
      <c r="E72" s="14" t="s">
        <v>1130</v>
      </c>
      <c r="F72" s="13" t="s">
        <v>1131</v>
      </c>
      <c r="G72" s="14" t="s">
        <v>23</v>
      </c>
      <c r="H72" s="12"/>
      <c r="I72" s="12"/>
      <c r="J72" s="15">
        <f t="shared" si="1"/>
        <v>0</v>
      </c>
    </row>
    <row r="73" ht="28.8" spans="1:10">
      <c r="A73" s="55"/>
      <c r="B73" s="55"/>
      <c r="C73" s="13" t="s">
        <v>1123</v>
      </c>
      <c r="D73" s="14" t="s">
        <v>20</v>
      </c>
      <c r="E73" s="14" t="s">
        <v>1132</v>
      </c>
      <c r="F73" s="13" t="s">
        <v>1133</v>
      </c>
      <c r="G73" s="14" t="s">
        <v>23</v>
      </c>
      <c r="H73" s="12"/>
      <c r="I73" s="12"/>
      <c r="J73" s="15">
        <f t="shared" si="1"/>
        <v>0</v>
      </c>
    </row>
  </sheetData>
  <mergeCells count="4">
    <mergeCell ref="A1:J1"/>
    <mergeCell ref="A2:J2"/>
    <mergeCell ref="A4:A73"/>
    <mergeCell ref="B4:B73"/>
  </mergeCells>
  <pageMargins left="0.7" right="0.7" top="0.75" bottom="0.75" header="0.3" footer="0.3"/>
  <pageSetup paperSize="1" scale="44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M197"/>
  <sheetViews>
    <sheetView tabSelected="1" view="pageBreakPreview" zoomScale="85" zoomScaleNormal="70" workbookViewId="0">
      <selection activeCell="F13" sqref="F13"/>
    </sheetView>
  </sheetViews>
  <sheetFormatPr defaultColWidth="26.8888888888889" defaultRowHeight="14.4"/>
  <cols>
    <col min="1" max="1" width="15.5555555555556" customWidth="1"/>
    <col min="2" max="2" width="16.7314814814815" customWidth="1"/>
    <col min="3" max="3" width="25.3518518518519" style="1" customWidth="1"/>
    <col min="4" max="4" width="14.75" style="26" customWidth="1"/>
    <col min="5" max="5" width="29.4074074074074" style="2" customWidth="1"/>
    <col min="6" max="6" width="40.2592592592593" style="1" customWidth="1"/>
    <col min="7" max="7" width="11.3333333333333" style="27" customWidth="1"/>
    <col min="8" max="8" width="15.2222222222222" customWidth="1"/>
    <col min="9" max="9" width="10.4444444444444" customWidth="1"/>
    <col min="10" max="10" width="16.1111111111111" style="28" customWidth="1"/>
  </cols>
  <sheetData>
    <row r="1" ht="18" spans="1:13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3">
      <c r="A2" s="3" t="s">
        <v>1134</v>
      </c>
      <c r="B2" s="3"/>
      <c r="C2" s="4"/>
      <c r="D2" s="3"/>
      <c r="E2" s="3"/>
      <c r="F2" s="5"/>
      <c r="G2" s="3"/>
      <c r="H2" s="3"/>
      <c r="I2" s="3"/>
      <c r="J2" s="3"/>
    </row>
    <row r="3" ht="39" customHeight="1" spans="1:13">
      <c r="A3" s="29" t="s">
        <v>1105</v>
      </c>
      <c r="B3" s="29" t="s">
        <v>1135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</row>
    <row r="4" s="25" customFormat="1" ht="28" customHeight="1" spans="1:13">
      <c r="A4" s="30" t="s">
        <v>1136</v>
      </c>
      <c r="B4" s="31" t="s">
        <v>1137</v>
      </c>
      <c r="C4" s="32" t="s">
        <v>1138</v>
      </c>
      <c r="D4" s="33" t="s">
        <v>11</v>
      </c>
      <c r="E4" s="34" t="s">
        <v>12</v>
      </c>
      <c r="F4" s="32" t="s">
        <v>13</v>
      </c>
      <c r="G4" s="35" t="s">
        <v>14</v>
      </c>
      <c r="H4" s="36"/>
      <c r="I4" s="36"/>
      <c r="J4" s="37">
        <f>+ROUND(PRODUCT(H4*I4),0)</f>
        <v>0</v>
      </c>
    </row>
    <row r="5" s="25" customFormat="1" ht="31.2" spans="1:13">
      <c r="A5" s="38"/>
      <c r="B5" s="30" t="s">
        <v>1139</v>
      </c>
      <c r="C5" s="32" t="s">
        <v>1140</v>
      </c>
      <c r="D5" s="33" t="s">
        <v>11</v>
      </c>
      <c r="E5" s="34" t="s">
        <v>24</v>
      </c>
      <c r="F5" s="32" t="s">
        <v>605</v>
      </c>
      <c r="G5" s="35" t="s">
        <v>34</v>
      </c>
      <c r="H5" s="36"/>
      <c r="I5" s="36"/>
      <c r="J5" s="37">
        <f>+ROUND(PRODUCT(H5*I5),0)</f>
        <v>0</v>
      </c>
    </row>
    <row r="6" s="25" customFormat="1" ht="31.2" spans="1:13">
      <c r="A6" s="39"/>
      <c r="B6" s="39"/>
      <c r="C6" s="32" t="s">
        <v>1140</v>
      </c>
      <c r="D6" s="33" t="s">
        <v>11</v>
      </c>
      <c r="E6" s="34" t="s">
        <v>24</v>
      </c>
      <c r="F6" s="32" t="s">
        <v>1141</v>
      </c>
      <c r="G6" s="35" t="s">
        <v>34</v>
      </c>
      <c r="H6" s="36"/>
      <c r="I6" s="36"/>
      <c r="J6" s="37">
        <f>+ROUND(PRODUCT(H6*I6),0)</f>
        <v>0</v>
      </c>
    </row>
    <row r="7" customFormat="1" ht="31.2" spans="1:13">
      <c r="A7" s="38"/>
      <c r="B7" s="38"/>
      <c r="C7" s="32" t="s">
        <v>1140</v>
      </c>
      <c r="D7" s="33" t="s">
        <v>20</v>
      </c>
      <c r="E7" s="34" t="s">
        <v>61</v>
      </c>
      <c r="F7" s="32" t="s">
        <v>78</v>
      </c>
      <c r="G7" s="35" t="s">
        <v>49</v>
      </c>
      <c r="H7" s="36"/>
      <c r="I7" s="36"/>
      <c r="J7" s="37">
        <f t="shared" ref="J7:J14" si="0">+ROUND(PRODUCT(H7*I7),0)</f>
        <v>0</v>
      </c>
    </row>
    <row r="8" customFormat="1" ht="31.2" spans="1:13">
      <c r="A8" s="38"/>
      <c r="B8" s="38"/>
      <c r="C8" s="32" t="s">
        <v>1140</v>
      </c>
      <c r="D8" s="33" t="s">
        <v>20</v>
      </c>
      <c r="E8" s="34" t="s">
        <v>84</v>
      </c>
      <c r="F8" s="32" t="s">
        <v>86</v>
      </c>
      <c r="G8" s="35" t="s">
        <v>49</v>
      </c>
      <c r="H8" s="36"/>
      <c r="I8" s="36"/>
      <c r="J8" s="37">
        <f t="shared" si="0"/>
        <v>0</v>
      </c>
    </row>
    <row r="9" customFormat="1" ht="31.2" spans="1:13">
      <c r="A9" s="38"/>
      <c r="B9" s="38"/>
      <c r="C9" s="32" t="s">
        <v>1140</v>
      </c>
      <c r="D9" s="33" t="s">
        <v>20</v>
      </c>
      <c r="E9" s="34" t="s">
        <v>84</v>
      </c>
      <c r="F9" s="32" t="s">
        <v>88</v>
      </c>
      <c r="G9" s="35" t="s">
        <v>49</v>
      </c>
      <c r="H9" s="36"/>
      <c r="I9" s="36"/>
      <c r="J9" s="37">
        <f t="shared" si="0"/>
        <v>0</v>
      </c>
    </row>
    <row r="10" customFormat="1" ht="31.2" spans="1:13">
      <c r="A10" s="38"/>
      <c r="B10" s="38"/>
      <c r="C10" s="32" t="s">
        <v>1140</v>
      </c>
      <c r="D10" s="33" t="s">
        <v>20</v>
      </c>
      <c r="E10" s="34" t="s">
        <v>84</v>
      </c>
      <c r="F10" s="32" t="s">
        <v>89</v>
      </c>
      <c r="G10" s="35" t="s">
        <v>49</v>
      </c>
      <c r="H10" s="36"/>
      <c r="I10" s="36"/>
      <c r="J10" s="37">
        <f t="shared" si="0"/>
        <v>0</v>
      </c>
      <c r="K10">
        <f>200*100</f>
        <v>20000</v>
      </c>
      <c r="L10">
        <v>2000</v>
      </c>
      <c r="M10">
        <v>900</v>
      </c>
    </row>
    <row r="11" customFormat="1" ht="31.2" spans="1:13">
      <c r="A11" s="38"/>
      <c r="B11" s="38"/>
      <c r="C11" s="32" t="s">
        <v>1140</v>
      </c>
      <c r="D11" s="33" t="s">
        <v>20</v>
      </c>
      <c r="E11" s="34" t="s">
        <v>84</v>
      </c>
      <c r="F11" s="32" t="s">
        <v>608</v>
      </c>
      <c r="G11" s="35" t="s">
        <v>100</v>
      </c>
      <c r="H11" s="36"/>
      <c r="I11" s="36"/>
      <c r="J11" s="37">
        <f t="shared" si="0"/>
        <v>0</v>
      </c>
      <c r="L11">
        <f>+K10/L10</f>
        <v>10</v>
      </c>
    </row>
    <row r="12" customFormat="1" ht="31.2" spans="1:13">
      <c r="A12" s="38"/>
      <c r="B12" s="38"/>
      <c r="C12" s="32" t="s">
        <v>1140</v>
      </c>
      <c r="D12" s="33" t="s">
        <v>20</v>
      </c>
      <c r="E12" s="34" t="s">
        <v>84</v>
      </c>
      <c r="F12" s="32" t="s">
        <v>609</v>
      </c>
      <c r="G12" s="35" t="s">
        <v>63</v>
      </c>
      <c r="H12" s="36"/>
      <c r="I12" s="36"/>
      <c r="J12" s="37">
        <f t="shared" si="0"/>
        <v>0</v>
      </c>
    </row>
    <row r="13" customFormat="1" ht="31.2" spans="1:13">
      <c r="A13" s="38"/>
      <c r="B13" s="38"/>
      <c r="C13" s="32" t="s">
        <v>1140</v>
      </c>
      <c r="D13" s="33" t="s">
        <v>20</v>
      </c>
      <c r="E13" s="34" t="s">
        <v>84</v>
      </c>
      <c r="F13" s="32" t="s">
        <v>610</v>
      </c>
      <c r="G13" s="35" t="s">
        <v>611</v>
      </c>
      <c r="H13" s="36"/>
      <c r="I13" s="36"/>
      <c r="J13" s="37">
        <f t="shared" si="0"/>
        <v>0</v>
      </c>
    </row>
    <row r="14" customFormat="1" ht="31.2" spans="1:13">
      <c r="A14" s="38"/>
      <c r="B14" s="40"/>
      <c r="C14" s="32" t="s">
        <v>1140</v>
      </c>
      <c r="D14" s="33" t="s">
        <v>20</v>
      </c>
      <c r="E14" s="34" t="s">
        <v>84</v>
      </c>
      <c r="F14" s="32" t="s">
        <v>612</v>
      </c>
      <c r="G14" s="35" t="s">
        <v>611</v>
      </c>
      <c r="H14" s="36"/>
      <c r="I14" s="36"/>
      <c r="J14" s="37">
        <f t="shared" si="0"/>
        <v>0</v>
      </c>
    </row>
    <row r="15" s="25" customFormat="1" ht="28" customHeight="1" spans="1:13">
      <c r="A15" s="38"/>
      <c r="B15" s="38" t="s">
        <v>1142</v>
      </c>
      <c r="C15" s="32" t="s">
        <v>1143</v>
      </c>
      <c r="D15" s="33" t="s">
        <v>20</v>
      </c>
      <c r="E15" s="34" t="s">
        <v>106</v>
      </c>
      <c r="F15" s="32" t="s">
        <v>107</v>
      </c>
      <c r="G15" s="35" t="s">
        <v>108</v>
      </c>
      <c r="H15" s="36"/>
      <c r="I15" s="36"/>
      <c r="J15" s="37">
        <f t="shared" ref="J15:J17" si="1">+ROUND(PRODUCT(H15*I15),0)</f>
        <v>0</v>
      </c>
    </row>
    <row r="16" s="25" customFormat="1" ht="28" customHeight="1" spans="1:13">
      <c r="A16" s="38"/>
      <c r="B16" s="38"/>
      <c r="C16" s="32" t="s">
        <v>1143</v>
      </c>
      <c r="D16" s="33" t="s">
        <v>20</v>
      </c>
      <c r="E16" s="34" t="s">
        <v>106</v>
      </c>
      <c r="F16" s="32" t="s">
        <v>593</v>
      </c>
      <c r="G16" s="35" t="s">
        <v>108</v>
      </c>
      <c r="H16" s="36"/>
      <c r="I16" s="36"/>
      <c r="J16" s="37">
        <f t="shared" si="1"/>
        <v>0</v>
      </c>
    </row>
    <row r="17" s="25" customFormat="1" ht="28" customHeight="1" spans="1:10">
      <c r="A17" s="38"/>
      <c r="B17" s="38"/>
      <c r="C17" s="32" t="s">
        <v>1143</v>
      </c>
      <c r="D17" s="33" t="s">
        <v>11</v>
      </c>
      <c r="E17" s="34" t="s">
        <v>12</v>
      </c>
      <c r="F17" s="32" t="s">
        <v>15</v>
      </c>
      <c r="G17" s="35" t="s">
        <v>14</v>
      </c>
      <c r="H17" s="36"/>
      <c r="I17" s="36"/>
      <c r="J17" s="37">
        <f t="shared" si="1"/>
        <v>0</v>
      </c>
    </row>
    <row r="18" s="25" customFormat="1" ht="28" customHeight="1" spans="1:10">
      <c r="A18" s="38"/>
      <c r="B18" s="38"/>
      <c r="C18" s="32" t="s">
        <v>1143</v>
      </c>
      <c r="D18" s="33" t="s">
        <v>20</v>
      </c>
      <c r="E18" s="34" t="s">
        <v>600</v>
      </c>
      <c r="F18" s="32" t="s">
        <v>601</v>
      </c>
      <c r="G18" s="35" t="s">
        <v>63</v>
      </c>
      <c r="H18" s="36"/>
      <c r="I18" s="36"/>
      <c r="J18" s="37">
        <f>+ROUND(PRODUCT(H18*I18),0)</f>
        <v>0</v>
      </c>
    </row>
    <row r="19" customFormat="1" ht="27" customHeight="1" spans="1:10">
      <c r="A19" s="38"/>
      <c r="B19" s="41" t="s">
        <v>1144</v>
      </c>
      <c r="C19" s="32" t="s">
        <v>1145</v>
      </c>
      <c r="D19" s="33" t="s">
        <v>11</v>
      </c>
      <c r="E19" s="34" t="s">
        <v>630</v>
      </c>
      <c r="F19" s="32" t="s">
        <v>631</v>
      </c>
      <c r="G19" s="35" t="s">
        <v>17</v>
      </c>
      <c r="H19" s="36"/>
      <c r="I19" s="36"/>
      <c r="J19" s="37">
        <f>+ROUND(PRODUCT(H19*I19),0)</f>
        <v>0</v>
      </c>
    </row>
    <row r="20" customFormat="1" ht="27" customHeight="1" spans="1:10">
      <c r="A20" s="38"/>
      <c r="B20" s="42"/>
      <c r="C20" s="32" t="s">
        <v>1145</v>
      </c>
      <c r="D20" s="33" t="s">
        <v>20</v>
      </c>
      <c r="E20" s="34" t="s">
        <v>47</v>
      </c>
      <c r="F20" s="32" t="s">
        <v>50</v>
      </c>
      <c r="G20" s="35" t="s">
        <v>49</v>
      </c>
      <c r="H20" s="36"/>
      <c r="I20" s="36"/>
      <c r="J20" s="37">
        <f>+ROUND(PRODUCT(H20*I20),0)</f>
        <v>0</v>
      </c>
    </row>
    <row r="21" customFormat="1" ht="27" customHeight="1" spans="1:10">
      <c r="A21" s="38"/>
      <c r="B21" s="42"/>
      <c r="C21" s="32" t="s">
        <v>1145</v>
      </c>
      <c r="D21" s="33" t="s">
        <v>20</v>
      </c>
      <c r="E21" s="34" t="s">
        <v>624</v>
      </c>
      <c r="F21" s="32" t="s">
        <v>625</v>
      </c>
      <c r="G21" s="35" t="s">
        <v>23</v>
      </c>
      <c r="H21" s="36"/>
      <c r="I21" s="36"/>
      <c r="J21" s="37">
        <f>+ROUND(PRODUCT(H21*I21),0)</f>
        <v>0</v>
      </c>
    </row>
    <row r="22" customFormat="1" ht="27" customHeight="1" spans="1:10">
      <c r="A22" s="38"/>
      <c r="B22" s="42"/>
      <c r="C22" s="32" t="s">
        <v>1145</v>
      </c>
      <c r="D22" s="33" t="s">
        <v>20</v>
      </c>
      <c r="E22" s="34" t="s">
        <v>624</v>
      </c>
      <c r="F22" s="32" t="s">
        <v>626</v>
      </c>
      <c r="G22" s="35" t="s">
        <v>23</v>
      </c>
      <c r="H22" s="36"/>
      <c r="I22" s="36"/>
      <c r="J22" s="37">
        <f>+ROUND(PRODUCT(H22*I22),0)</f>
        <v>0</v>
      </c>
    </row>
    <row r="23" customFormat="1" ht="27" customHeight="1" spans="1:10">
      <c r="A23" s="38"/>
      <c r="B23" s="42"/>
      <c r="C23" s="32" t="s">
        <v>1145</v>
      </c>
      <c r="D23" s="33" t="s">
        <v>20</v>
      </c>
      <c r="E23" s="34" t="s">
        <v>624</v>
      </c>
      <c r="F23" s="32" t="s">
        <v>627</v>
      </c>
      <c r="G23" s="35" t="s">
        <v>23</v>
      </c>
      <c r="H23" s="36"/>
      <c r="I23" s="36"/>
      <c r="J23" s="37">
        <f>+ROUND(PRODUCT(H23*I23),0)</f>
        <v>0</v>
      </c>
    </row>
    <row r="24" customFormat="1" ht="27" customHeight="1" spans="1:10">
      <c r="A24" s="38"/>
      <c r="B24" s="43"/>
      <c r="C24" s="32" t="s">
        <v>1145</v>
      </c>
      <c r="D24" s="33" t="s">
        <v>20</v>
      </c>
      <c r="E24" s="34" t="s">
        <v>624</v>
      </c>
      <c r="F24" s="32" t="s">
        <v>628</v>
      </c>
      <c r="G24" s="35" t="s">
        <v>23</v>
      </c>
      <c r="H24" s="36"/>
      <c r="I24" s="36"/>
      <c r="J24" s="37">
        <f>+ROUND(PRODUCT(H24*I24),0)</f>
        <v>0</v>
      </c>
    </row>
    <row r="25" customFormat="1" ht="31.2" spans="1:10">
      <c r="A25" s="38"/>
      <c r="B25" s="44" t="s">
        <v>1146</v>
      </c>
      <c r="C25" s="32" t="s">
        <v>1147</v>
      </c>
      <c r="D25" s="45" t="s">
        <v>11</v>
      </c>
      <c r="E25" s="46" t="s">
        <v>24</v>
      </c>
      <c r="F25" s="46" t="s">
        <v>605</v>
      </c>
      <c r="G25" s="45" t="s">
        <v>34</v>
      </c>
      <c r="H25" s="47"/>
      <c r="I25" s="47"/>
      <c r="J25" s="37">
        <f t="shared" ref="J25:J40" si="2">+ROUND(PRODUCT(H25*I25),0)</f>
        <v>0</v>
      </c>
    </row>
    <row r="26" customFormat="1" ht="31.2" spans="1:10">
      <c r="A26" s="38"/>
      <c r="B26" s="48"/>
      <c r="C26" s="32" t="s">
        <v>1147</v>
      </c>
      <c r="D26" s="45" t="s">
        <v>11</v>
      </c>
      <c r="E26" s="46" t="s">
        <v>24</v>
      </c>
      <c r="F26" s="46" t="s">
        <v>1141</v>
      </c>
      <c r="G26" s="45" t="s">
        <v>34</v>
      </c>
      <c r="H26" s="47"/>
      <c r="I26" s="47"/>
      <c r="J26" s="37">
        <f t="shared" si="2"/>
        <v>0</v>
      </c>
    </row>
    <row r="27" customFormat="1" ht="31.2" spans="1:10">
      <c r="A27" s="38"/>
      <c r="B27" s="48"/>
      <c r="C27" s="32" t="s">
        <v>1147</v>
      </c>
      <c r="D27" s="45" t="s">
        <v>11</v>
      </c>
      <c r="E27" s="46" t="s">
        <v>24</v>
      </c>
      <c r="F27" s="46" t="s">
        <v>1148</v>
      </c>
      <c r="G27" s="45" t="s">
        <v>34</v>
      </c>
      <c r="H27" s="47"/>
      <c r="I27" s="47"/>
      <c r="J27" s="37">
        <f t="shared" si="2"/>
        <v>0</v>
      </c>
    </row>
    <row r="28" customFormat="1" ht="31.2" spans="1:10">
      <c r="A28" s="38"/>
      <c r="B28" s="48"/>
      <c r="C28" s="32" t="s">
        <v>1147</v>
      </c>
      <c r="D28" s="45" t="s">
        <v>20</v>
      </c>
      <c r="E28" s="46" t="s">
        <v>61</v>
      </c>
      <c r="F28" s="46" t="s">
        <v>78</v>
      </c>
      <c r="G28" s="45" t="s">
        <v>49</v>
      </c>
      <c r="H28" s="47"/>
      <c r="I28" s="47"/>
      <c r="J28" s="37">
        <f t="shared" si="2"/>
        <v>0</v>
      </c>
    </row>
    <row r="29" customFormat="1" ht="31.2" spans="1:10">
      <c r="A29" s="38"/>
      <c r="B29" s="48"/>
      <c r="C29" s="32" t="s">
        <v>1147</v>
      </c>
      <c r="D29" s="45" t="s">
        <v>20</v>
      </c>
      <c r="E29" s="46" t="s">
        <v>84</v>
      </c>
      <c r="F29" s="46" t="s">
        <v>86</v>
      </c>
      <c r="G29" s="45" t="s">
        <v>49</v>
      </c>
      <c r="H29" s="47"/>
      <c r="I29" s="47"/>
      <c r="J29" s="37">
        <f t="shared" si="2"/>
        <v>0</v>
      </c>
    </row>
    <row r="30" customFormat="1" ht="31.2" spans="1:10">
      <c r="A30" s="38"/>
      <c r="B30" s="48"/>
      <c r="C30" s="32" t="s">
        <v>1147</v>
      </c>
      <c r="D30" s="45" t="s">
        <v>20</v>
      </c>
      <c r="E30" s="46" t="s">
        <v>84</v>
      </c>
      <c r="F30" s="46" t="s">
        <v>88</v>
      </c>
      <c r="G30" s="45" t="s">
        <v>49</v>
      </c>
      <c r="H30" s="47"/>
      <c r="I30" s="47"/>
      <c r="J30" s="37">
        <f t="shared" si="2"/>
        <v>0</v>
      </c>
    </row>
    <row r="31" customFormat="1" ht="31.2" spans="1:10">
      <c r="A31" s="38"/>
      <c r="B31" s="48"/>
      <c r="C31" s="32" t="s">
        <v>1147</v>
      </c>
      <c r="D31" s="45" t="s">
        <v>20</v>
      </c>
      <c r="E31" s="46" t="s">
        <v>84</v>
      </c>
      <c r="F31" s="46" t="s">
        <v>89</v>
      </c>
      <c r="G31" s="45" t="s">
        <v>49</v>
      </c>
      <c r="H31" s="47"/>
      <c r="I31" s="47"/>
      <c r="J31" s="37">
        <f t="shared" si="2"/>
        <v>0</v>
      </c>
    </row>
    <row r="32" customFormat="1" ht="31.2" spans="1:10">
      <c r="A32" s="38"/>
      <c r="B32" s="48"/>
      <c r="C32" s="32" t="s">
        <v>1147</v>
      </c>
      <c r="D32" s="45" t="s">
        <v>20</v>
      </c>
      <c r="E32" s="46" t="s">
        <v>84</v>
      </c>
      <c r="F32" s="46" t="s">
        <v>608</v>
      </c>
      <c r="G32" s="45" t="s">
        <v>100</v>
      </c>
      <c r="H32" s="47"/>
      <c r="I32" s="47"/>
      <c r="J32" s="37">
        <f t="shared" si="2"/>
        <v>0</v>
      </c>
    </row>
    <row r="33" s="25" customFormat="1" ht="31.2" spans="1:10">
      <c r="A33" s="39"/>
      <c r="B33" s="49"/>
      <c r="C33" s="32" t="s">
        <v>1147</v>
      </c>
      <c r="D33" s="45" t="s">
        <v>20</v>
      </c>
      <c r="E33" s="46" t="s">
        <v>84</v>
      </c>
      <c r="F33" s="46" t="s">
        <v>609</v>
      </c>
      <c r="G33" s="45" t="s">
        <v>63</v>
      </c>
      <c r="H33" s="50"/>
      <c r="I33" s="50"/>
      <c r="J33" s="37">
        <f t="shared" si="2"/>
        <v>0</v>
      </c>
    </row>
    <row r="34" s="25" customFormat="1" ht="31.2" spans="1:10">
      <c r="A34" s="39"/>
      <c r="B34" s="49"/>
      <c r="C34" s="32" t="s">
        <v>1147</v>
      </c>
      <c r="D34" s="45" t="s">
        <v>20</v>
      </c>
      <c r="E34" s="46" t="s">
        <v>84</v>
      </c>
      <c r="F34" s="46" t="s">
        <v>683</v>
      </c>
      <c r="G34" s="45" t="s">
        <v>611</v>
      </c>
      <c r="H34" s="50"/>
      <c r="I34" s="50"/>
      <c r="J34" s="37">
        <f t="shared" si="2"/>
        <v>0</v>
      </c>
    </row>
    <row r="35" s="25" customFormat="1" ht="31.2" spans="1:10">
      <c r="A35" s="39"/>
      <c r="B35" s="49"/>
      <c r="C35" s="32" t="s">
        <v>1147</v>
      </c>
      <c r="D35" s="45" t="s">
        <v>20</v>
      </c>
      <c r="E35" s="46" t="s">
        <v>84</v>
      </c>
      <c r="F35" s="46" t="s">
        <v>610</v>
      </c>
      <c r="G35" s="45" t="s">
        <v>611</v>
      </c>
      <c r="H35" s="50"/>
      <c r="I35" s="50"/>
      <c r="J35" s="37">
        <f t="shared" si="2"/>
        <v>0</v>
      </c>
    </row>
    <row r="36" s="25" customFormat="1" ht="31.2" spans="1:10">
      <c r="A36" s="39"/>
      <c r="B36" s="49"/>
      <c r="C36" s="32" t="s">
        <v>1147</v>
      </c>
      <c r="D36" s="45" t="s">
        <v>20</v>
      </c>
      <c r="E36" s="46" t="s">
        <v>84</v>
      </c>
      <c r="F36" s="46" t="s">
        <v>612</v>
      </c>
      <c r="G36" s="45" t="s">
        <v>611</v>
      </c>
      <c r="H36" s="50"/>
      <c r="I36" s="50"/>
      <c r="J36" s="37">
        <f t="shared" si="2"/>
        <v>0</v>
      </c>
    </row>
    <row r="37" s="25" customFormat="1" ht="31.2" spans="1:10">
      <c r="A37" s="39"/>
      <c r="B37" s="49"/>
      <c r="C37" s="32" t="s">
        <v>1147</v>
      </c>
      <c r="D37" s="45" t="s">
        <v>20</v>
      </c>
      <c r="E37" s="46" t="s">
        <v>84</v>
      </c>
      <c r="F37" s="46" t="s">
        <v>1149</v>
      </c>
      <c r="G37" s="45" t="s">
        <v>23</v>
      </c>
      <c r="H37" s="50"/>
      <c r="I37" s="50"/>
      <c r="J37" s="37">
        <f t="shared" si="2"/>
        <v>0</v>
      </c>
    </row>
    <row r="38" s="25" customFormat="1" ht="28" customHeight="1" spans="1:10">
      <c r="A38" s="38"/>
      <c r="B38" s="31" t="s">
        <v>1150</v>
      </c>
      <c r="C38" s="32" t="s">
        <v>1151</v>
      </c>
      <c r="D38" s="33" t="s">
        <v>20</v>
      </c>
      <c r="E38" s="34" t="s">
        <v>106</v>
      </c>
      <c r="F38" s="32" t="s">
        <v>110</v>
      </c>
      <c r="G38" s="35" t="s">
        <v>108</v>
      </c>
      <c r="H38" s="36"/>
      <c r="I38" s="36"/>
      <c r="J38" s="37">
        <f t="shared" si="2"/>
        <v>0</v>
      </c>
    </row>
    <row r="39" s="25" customFormat="1" ht="28" customHeight="1" spans="1:10">
      <c r="A39" s="38"/>
      <c r="B39" s="31"/>
      <c r="C39" s="32" t="s">
        <v>1151</v>
      </c>
      <c r="D39" s="33" t="s">
        <v>20</v>
      </c>
      <c r="E39" s="34" t="s">
        <v>106</v>
      </c>
      <c r="F39" s="32" t="s">
        <v>593</v>
      </c>
      <c r="G39" s="35" t="s">
        <v>108</v>
      </c>
      <c r="H39" s="36"/>
      <c r="I39" s="36"/>
      <c r="J39" s="37">
        <f t="shared" si="2"/>
        <v>0</v>
      </c>
    </row>
    <row r="40" s="25" customFormat="1" ht="28" customHeight="1" spans="1:10">
      <c r="A40" s="38"/>
      <c r="B40" s="31"/>
      <c r="C40" s="32" t="s">
        <v>1151</v>
      </c>
      <c r="D40" s="33" t="s">
        <v>11</v>
      </c>
      <c r="E40" s="34" t="s">
        <v>12</v>
      </c>
      <c r="F40" s="32" t="s">
        <v>15</v>
      </c>
      <c r="G40" s="35" t="s">
        <v>14</v>
      </c>
      <c r="H40" s="36"/>
      <c r="I40" s="36"/>
      <c r="J40" s="37">
        <f t="shared" si="2"/>
        <v>0</v>
      </c>
    </row>
    <row r="41" s="25" customFormat="1" ht="28" customHeight="1" spans="1:10">
      <c r="A41" s="38"/>
      <c r="B41" s="31"/>
      <c r="C41" s="32" t="s">
        <v>1151</v>
      </c>
      <c r="D41" s="33" t="s">
        <v>20</v>
      </c>
      <c r="E41" s="34" t="s">
        <v>600</v>
      </c>
      <c r="F41" s="32" t="s">
        <v>601</v>
      </c>
      <c r="G41" s="35" t="s">
        <v>63</v>
      </c>
      <c r="H41" s="36"/>
      <c r="I41" s="36"/>
      <c r="J41" s="37">
        <f t="shared" ref="J41:J58" si="3">+ROUND(PRODUCT(H41*I41),0)</f>
        <v>0</v>
      </c>
    </row>
    <row r="42" customFormat="1" ht="31.2" spans="1:10">
      <c r="A42" s="38"/>
      <c r="B42" s="51" t="s">
        <v>1152</v>
      </c>
      <c r="C42" s="32" t="s">
        <v>1153</v>
      </c>
      <c r="D42" s="45" t="s">
        <v>11</v>
      </c>
      <c r="E42" s="46" t="s">
        <v>24</v>
      </c>
      <c r="F42" s="46" t="s">
        <v>605</v>
      </c>
      <c r="G42" s="45" t="s">
        <v>34</v>
      </c>
      <c r="H42" s="47"/>
      <c r="I42" s="47"/>
      <c r="J42" s="37">
        <f t="shared" si="3"/>
        <v>0</v>
      </c>
    </row>
    <row r="43" customFormat="1" ht="31.2" spans="1:10">
      <c r="A43" s="38"/>
      <c r="B43" s="52"/>
      <c r="C43" s="32" t="s">
        <v>1153</v>
      </c>
      <c r="D43" s="45" t="s">
        <v>11</v>
      </c>
      <c r="E43" s="46" t="s">
        <v>24</v>
      </c>
      <c r="F43" s="46" t="s">
        <v>1141</v>
      </c>
      <c r="G43" s="45" t="s">
        <v>34</v>
      </c>
      <c r="H43" s="47"/>
      <c r="I43" s="47"/>
      <c r="J43" s="37">
        <f t="shared" si="3"/>
        <v>0</v>
      </c>
    </row>
    <row r="44" customFormat="1" ht="31.2" spans="1:10">
      <c r="A44" s="38"/>
      <c r="B44" s="52"/>
      <c r="C44" s="32" t="s">
        <v>1153</v>
      </c>
      <c r="D44" s="45" t="s">
        <v>11</v>
      </c>
      <c r="E44" s="46" t="s">
        <v>24</v>
      </c>
      <c r="F44" s="46" t="s">
        <v>1148</v>
      </c>
      <c r="G44" s="45" t="s">
        <v>34</v>
      </c>
      <c r="H44" s="47"/>
      <c r="I44" s="47"/>
      <c r="J44" s="37">
        <f t="shared" si="3"/>
        <v>0</v>
      </c>
    </row>
    <row r="45" customFormat="1" ht="31.2" spans="1:10">
      <c r="A45" s="38"/>
      <c r="B45" s="52"/>
      <c r="C45" s="32" t="s">
        <v>1153</v>
      </c>
      <c r="D45" s="45" t="s">
        <v>20</v>
      </c>
      <c r="E45" s="46" t="s">
        <v>61</v>
      </c>
      <c r="F45" s="46" t="s">
        <v>78</v>
      </c>
      <c r="G45" s="45" t="s">
        <v>49</v>
      </c>
      <c r="H45" s="47"/>
      <c r="I45" s="47"/>
      <c r="J45" s="37">
        <f t="shared" si="3"/>
        <v>0</v>
      </c>
    </row>
    <row r="46" customFormat="1" ht="31.2" spans="1:10">
      <c r="A46" s="38"/>
      <c r="B46" s="52"/>
      <c r="C46" s="32" t="s">
        <v>1153</v>
      </c>
      <c r="D46" s="45" t="s">
        <v>20</v>
      </c>
      <c r="E46" s="46" t="s">
        <v>84</v>
      </c>
      <c r="F46" s="46" t="s">
        <v>86</v>
      </c>
      <c r="G46" s="45" t="s">
        <v>49</v>
      </c>
      <c r="H46" s="47"/>
      <c r="I46" s="47"/>
      <c r="J46" s="37">
        <f t="shared" si="3"/>
        <v>0</v>
      </c>
    </row>
    <row r="47" customFormat="1" ht="31.2" spans="1:10">
      <c r="A47" s="38"/>
      <c r="B47" s="52"/>
      <c r="C47" s="32" t="s">
        <v>1153</v>
      </c>
      <c r="D47" s="45" t="s">
        <v>20</v>
      </c>
      <c r="E47" s="46" t="s">
        <v>84</v>
      </c>
      <c r="F47" s="46" t="s">
        <v>88</v>
      </c>
      <c r="G47" s="45" t="s">
        <v>49</v>
      </c>
      <c r="H47" s="47"/>
      <c r="I47" s="47"/>
      <c r="J47" s="37">
        <f t="shared" si="3"/>
        <v>0</v>
      </c>
    </row>
    <row r="48" customFormat="1" ht="31.2" spans="1:10">
      <c r="A48" s="38"/>
      <c r="B48" s="52"/>
      <c r="C48" s="32" t="s">
        <v>1153</v>
      </c>
      <c r="D48" s="45" t="s">
        <v>20</v>
      </c>
      <c r="E48" s="46" t="s">
        <v>84</v>
      </c>
      <c r="F48" s="46" t="s">
        <v>89</v>
      </c>
      <c r="G48" s="45" t="s">
        <v>49</v>
      </c>
      <c r="H48" s="47"/>
      <c r="I48" s="47"/>
      <c r="J48" s="37">
        <f t="shared" si="3"/>
        <v>0</v>
      </c>
    </row>
    <row r="49" customFormat="1" ht="31.2" spans="1:10">
      <c r="A49" s="38"/>
      <c r="B49" s="52"/>
      <c r="C49" s="32" t="s">
        <v>1153</v>
      </c>
      <c r="D49" s="45" t="s">
        <v>20</v>
      </c>
      <c r="E49" s="46" t="s">
        <v>84</v>
      </c>
      <c r="F49" s="46" t="s">
        <v>608</v>
      </c>
      <c r="G49" s="45" t="s">
        <v>100</v>
      </c>
      <c r="H49" s="47"/>
      <c r="I49" s="47"/>
      <c r="J49" s="37">
        <f t="shared" si="3"/>
        <v>0</v>
      </c>
    </row>
    <row r="50" s="25" customFormat="1" ht="31.2" spans="1:10">
      <c r="A50" s="39"/>
      <c r="B50" s="52"/>
      <c r="C50" s="32" t="s">
        <v>1153</v>
      </c>
      <c r="D50" s="45" t="s">
        <v>20</v>
      </c>
      <c r="E50" s="46" t="s">
        <v>84</v>
      </c>
      <c r="F50" s="46" t="s">
        <v>609</v>
      </c>
      <c r="G50" s="45" t="s">
        <v>63</v>
      </c>
      <c r="H50" s="50"/>
      <c r="I50" s="50"/>
      <c r="J50" s="37">
        <f t="shared" si="3"/>
        <v>0</v>
      </c>
    </row>
    <row r="51" s="25" customFormat="1" ht="31.2" spans="1:10">
      <c r="A51" s="39"/>
      <c r="B51" s="52"/>
      <c r="C51" s="32" t="s">
        <v>1153</v>
      </c>
      <c r="D51" s="45" t="s">
        <v>20</v>
      </c>
      <c r="E51" s="46" t="s">
        <v>84</v>
      </c>
      <c r="F51" s="46" t="s">
        <v>683</v>
      </c>
      <c r="G51" s="45" t="s">
        <v>611</v>
      </c>
      <c r="H51" s="50"/>
      <c r="I51" s="50"/>
      <c r="J51" s="37">
        <f t="shared" si="3"/>
        <v>0</v>
      </c>
    </row>
    <row r="52" s="25" customFormat="1" ht="31.2" spans="1:10">
      <c r="A52" s="39"/>
      <c r="B52" s="52"/>
      <c r="C52" s="32" t="s">
        <v>1153</v>
      </c>
      <c r="D52" s="45" t="s">
        <v>20</v>
      </c>
      <c r="E52" s="46" t="s">
        <v>84</v>
      </c>
      <c r="F52" s="46" t="s">
        <v>610</v>
      </c>
      <c r="G52" s="45" t="s">
        <v>611</v>
      </c>
      <c r="H52" s="50"/>
      <c r="I52" s="50"/>
      <c r="J52" s="37">
        <f t="shared" si="3"/>
        <v>0</v>
      </c>
    </row>
    <row r="53" s="25" customFormat="1" ht="31.2" spans="1:10">
      <c r="A53" s="39"/>
      <c r="B53" s="52"/>
      <c r="C53" s="32" t="s">
        <v>1153</v>
      </c>
      <c r="D53" s="45" t="s">
        <v>20</v>
      </c>
      <c r="E53" s="46" t="s">
        <v>84</v>
      </c>
      <c r="F53" s="46" t="s">
        <v>612</v>
      </c>
      <c r="G53" s="45" t="s">
        <v>611</v>
      </c>
      <c r="H53" s="50"/>
      <c r="I53" s="50"/>
      <c r="J53" s="37">
        <f t="shared" si="3"/>
        <v>0</v>
      </c>
    </row>
    <row r="54" s="25" customFormat="1" ht="31.2" spans="1:10">
      <c r="A54" s="39"/>
      <c r="B54" s="52"/>
      <c r="C54" s="32" t="s">
        <v>1153</v>
      </c>
      <c r="D54" s="45" t="s">
        <v>20</v>
      </c>
      <c r="E54" s="46" t="s">
        <v>84</v>
      </c>
      <c r="F54" s="46" t="s">
        <v>1149</v>
      </c>
      <c r="G54" s="45" t="s">
        <v>23</v>
      </c>
      <c r="H54" s="50"/>
      <c r="I54" s="50"/>
      <c r="J54" s="37">
        <f t="shared" si="3"/>
        <v>0</v>
      </c>
    </row>
    <row r="55" s="25" customFormat="1" ht="28" customHeight="1" spans="1:10">
      <c r="A55" s="38"/>
      <c r="B55" s="31" t="s">
        <v>1154</v>
      </c>
      <c r="C55" s="32" t="s">
        <v>1155</v>
      </c>
      <c r="D55" s="33" t="s">
        <v>20</v>
      </c>
      <c r="E55" s="34" t="s">
        <v>106</v>
      </c>
      <c r="F55" s="32" t="s">
        <v>110</v>
      </c>
      <c r="G55" s="35" t="s">
        <v>108</v>
      </c>
      <c r="H55" s="36"/>
      <c r="I55" s="36"/>
      <c r="J55" s="37">
        <f t="shared" si="3"/>
        <v>0</v>
      </c>
    </row>
    <row r="56" s="25" customFormat="1" ht="28" customHeight="1" spans="1:10">
      <c r="A56" s="38"/>
      <c r="B56" s="31"/>
      <c r="C56" s="32" t="s">
        <v>1155</v>
      </c>
      <c r="D56" s="33" t="s">
        <v>20</v>
      </c>
      <c r="E56" s="34" t="s">
        <v>106</v>
      </c>
      <c r="F56" s="32" t="s">
        <v>593</v>
      </c>
      <c r="G56" s="35" t="s">
        <v>108</v>
      </c>
      <c r="H56" s="36"/>
      <c r="I56" s="36"/>
      <c r="J56" s="37">
        <f t="shared" si="3"/>
        <v>0</v>
      </c>
    </row>
    <row r="57" s="25" customFormat="1" ht="28" customHeight="1" spans="1:10">
      <c r="A57" s="38"/>
      <c r="B57" s="31"/>
      <c r="C57" s="32" t="s">
        <v>1155</v>
      </c>
      <c r="D57" s="33" t="s">
        <v>11</v>
      </c>
      <c r="E57" s="34" t="s">
        <v>12</v>
      </c>
      <c r="F57" s="32" t="s">
        <v>15</v>
      </c>
      <c r="G57" s="35" t="s">
        <v>14</v>
      </c>
      <c r="H57" s="36"/>
      <c r="I57" s="36"/>
      <c r="J57" s="37">
        <f t="shared" si="3"/>
        <v>0</v>
      </c>
    </row>
    <row r="58" s="25" customFormat="1" ht="28" customHeight="1" spans="1:10">
      <c r="A58" s="38"/>
      <c r="B58" s="31"/>
      <c r="C58" s="32" t="s">
        <v>1155</v>
      </c>
      <c r="D58" s="33" t="s">
        <v>20</v>
      </c>
      <c r="E58" s="34" t="s">
        <v>600</v>
      </c>
      <c r="F58" s="32" t="s">
        <v>601</v>
      </c>
      <c r="G58" s="35" t="s">
        <v>63</v>
      </c>
      <c r="H58" s="36"/>
      <c r="I58" s="36"/>
      <c r="J58" s="37">
        <f t="shared" si="3"/>
        <v>0</v>
      </c>
    </row>
    <row r="59" s="25" customFormat="1" ht="15.6" spans="1:10">
      <c r="A59" s="53"/>
      <c r="B59" s="52"/>
      <c r="C59" s="32"/>
      <c r="D59" s="45"/>
      <c r="E59" s="46"/>
      <c r="F59" s="46"/>
      <c r="G59" s="45"/>
      <c r="H59" s="50"/>
      <c r="I59" s="50"/>
      <c r="J59" s="37"/>
    </row>
    <row r="60" s="25" customFormat="1" ht="15.6" spans="1:10">
      <c r="A60" s="53"/>
      <c r="B60" s="52"/>
      <c r="C60" s="32"/>
      <c r="D60" s="45"/>
      <c r="E60" s="46"/>
      <c r="F60" s="46"/>
      <c r="G60" s="45"/>
      <c r="H60" s="50"/>
      <c r="I60" s="50"/>
      <c r="J60" s="37"/>
    </row>
    <row r="61" s="25" customFormat="1" ht="15.6" spans="1:10">
      <c r="A61" s="53"/>
      <c r="B61" s="52"/>
      <c r="C61" s="32"/>
      <c r="D61" s="45"/>
      <c r="E61" s="46"/>
      <c r="F61" s="46"/>
      <c r="G61" s="45"/>
      <c r="H61" s="50"/>
      <c r="I61" s="50"/>
      <c r="J61" s="37"/>
    </row>
    <row r="62" s="25" customFormat="1" ht="15.6" spans="1:10">
      <c r="A62" s="53"/>
      <c r="B62" s="52"/>
      <c r="C62" s="32"/>
      <c r="D62" s="45"/>
      <c r="E62" s="46"/>
      <c r="F62" s="46"/>
      <c r="G62" s="45"/>
      <c r="H62" s="50"/>
      <c r="I62" s="50"/>
      <c r="J62" s="37"/>
    </row>
    <row r="63" s="25" customFormat="1" ht="15.6" spans="1:10">
      <c r="A63" s="53"/>
      <c r="B63" s="52"/>
      <c r="C63" s="32"/>
      <c r="D63" s="45"/>
      <c r="E63" s="46"/>
      <c r="F63" s="46"/>
      <c r="G63" s="45"/>
      <c r="H63" s="50"/>
      <c r="I63" s="50"/>
      <c r="J63" s="37"/>
    </row>
    <row r="64" s="25" customFormat="1" ht="15.6" spans="1:10">
      <c r="A64" s="53"/>
      <c r="B64" s="52"/>
      <c r="C64" s="32"/>
      <c r="D64" s="45"/>
      <c r="E64" s="46"/>
      <c r="F64" s="46"/>
      <c r="G64" s="45"/>
      <c r="H64" s="50"/>
      <c r="I64" s="50"/>
      <c r="J64" s="37"/>
    </row>
    <row r="65" s="25" customFormat="1" ht="15.6" spans="1:10">
      <c r="A65" s="53"/>
      <c r="B65" s="52"/>
      <c r="C65" s="32"/>
      <c r="D65" s="45"/>
      <c r="E65" s="46"/>
      <c r="F65" s="46"/>
      <c r="G65" s="45"/>
      <c r="H65" s="50"/>
      <c r="I65" s="50"/>
      <c r="J65" s="37"/>
    </row>
    <row r="66" s="25" customFormat="1" ht="15.6" spans="1:10">
      <c r="A66" s="53"/>
      <c r="B66" s="52"/>
      <c r="C66" s="32"/>
      <c r="D66" s="45"/>
      <c r="E66" s="46"/>
      <c r="F66" s="46"/>
      <c r="G66" s="45"/>
      <c r="H66" s="50"/>
      <c r="I66" s="50"/>
      <c r="J66" s="37"/>
    </row>
    <row r="67" s="25" customFormat="1" ht="15.6" spans="1:10">
      <c r="A67" s="53"/>
      <c r="B67" s="52"/>
      <c r="C67" s="32"/>
      <c r="D67" s="45"/>
      <c r="E67" s="46"/>
      <c r="F67" s="46"/>
      <c r="G67" s="45"/>
      <c r="H67" s="50"/>
      <c r="I67" s="50"/>
      <c r="J67" s="37"/>
    </row>
    <row r="68" s="25" customFormat="1" ht="15.6" spans="1:10">
      <c r="A68" s="53"/>
      <c r="B68" s="52"/>
      <c r="C68" s="32"/>
      <c r="D68" s="45"/>
      <c r="E68" s="46"/>
      <c r="F68" s="46"/>
      <c r="G68" s="45"/>
      <c r="H68" s="50"/>
      <c r="I68" s="50"/>
      <c r="J68" s="37"/>
    </row>
    <row r="69" spans="1:10">
      <c r="A69" s="12"/>
      <c r="B69" s="54"/>
      <c r="C69" s="13" t="s">
        <v>680</v>
      </c>
      <c r="D69" s="55" t="s">
        <v>20</v>
      </c>
      <c r="E69" s="14" t="s">
        <v>600</v>
      </c>
      <c r="F69" s="13" t="s">
        <v>601</v>
      </c>
      <c r="G69" s="56" t="s">
        <v>63</v>
      </c>
      <c r="H69" s="15"/>
      <c r="I69" s="15"/>
      <c r="J69" s="57">
        <f t="shared" ref="J69:J80" si="4">+ROUND(PRODUCT(H69*I69),0)</f>
        <v>0</v>
      </c>
    </row>
    <row r="70" ht="28.8" spans="1:10">
      <c r="A70" s="12"/>
      <c r="B70" s="54"/>
      <c r="C70" s="13" t="s">
        <v>682</v>
      </c>
      <c r="D70" s="55" t="s">
        <v>20</v>
      </c>
      <c r="E70" s="14" t="s">
        <v>47</v>
      </c>
      <c r="F70" s="13" t="s">
        <v>50</v>
      </c>
      <c r="G70" s="56" t="s">
        <v>49</v>
      </c>
      <c r="H70" s="15"/>
      <c r="I70" s="15"/>
      <c r="J70" s="57">
        <f t="shared" si="4"/>
        <v>0</v>
      </c>
    </row>
    <row r="71" ht="28.8" spans="1:10">
      <c r="A71" s="12"/>
      <c r="B71" s="12"/>
      <c r="C71" s="13" t="s">
        <v>682</v>
      </c>
      <c r="D71" s="55" t="s">
        <v>20</v>
      </c>
      <c r="E71" s="14" t="s">
        <v>61</v>
      </c>
      <c r="F71" s="13" t="s">
        <v>78</v>
      </c>
      <c r="G71" s="56" t="s">
        <v>49</v>
      </c>
      <c r="H71" s="15"/>
      <c r="I71" s="15"/>
      <c r="J71" s="57">
        <f t="shared" si="4"/>
        <v>0</v>
      </c>
    </row>
    <row r="72" ht="28.8" spans="1:10">
      <c r="A72" s="12"/>
      <c r="B72" s="12"/>
      <c r="C72" s="13" t="s">
        <v>682</v>
      </c>
      <c r="D72" s="55" t="s">
        <v>20</v>
      </c>
      <c r="E72" s="14" t="s">
        <v>84</v>
      </c>
      <c r="F72" s="13" t="s">
        <v>86</v>
      </c>
      <c r="G72" s="56" t="s">
        <v>49</v>
      </c>
      <c r="H72" s="15"/>
      <c r="I72" s="15"/>
      <c r="J72" s="57">
        <f t="shared" si="4"/>
        <v>0</v>
      </c>
    </row>
    <row r="73" ht="28.8" spans="1:10">
      <c r="A73" s="12"/>
      <c r="B73" s="12"/>
      <c r="C73" s="13" t="s">
        <v>682</v>
      </c>
      <c r="D73" s="55" t="s">
        <v>20</v>
      </c>
      <c r="E73" s="14" t="s">
        <v>84</v>
      </c>
      <c r="F73" s="13" t="s">
        <v>88</v>
      </c>
      <c r="G73" s="56" t="s">
        <v>49</v>
      </c>
      <c r="H73" s="15"/>
      <c r="I73" s="15"/>
      <c r="J73" s="57">
        <f t="shared" si="4"/>
        <v>0</v>
      </c>
    </row>
    <row r="74" ht="28.8" spans="1:10">
      <c r="A74" s="12"/>
      <c r="B74" s="12"/>
      <c r="C74" s="13" t="s">
        <v>682</v>
      </c>
      <c r="D74" s="55" t="s">
        <v>20</v>
      </c>
      <c r="E74" s="14" t="s">
        <v>84</v>
      </c>
      <c r="F74" s="13" t="s">
        <v>89</v>
      </c>
      <c r="G74" s="56" t="s">
        <v>49</v>
      </c>
      <c r="H74" s="15"/>
      <c r="I74" s="15"/>
      <c r="J74" s="57">
        <f t="shared" si="4"/>
        <v>0</v>
      </c>
    </row>
    <row r="75" ht="28.8" spans="1:10">
      <c r="A75" s="12"/>
      <c r="B75" s="12"/>
      <c r="C75" s="13" t="s">
        <v>682</v>
      </c>
      <c r="D75" s="55" t="s">
        <v>20</v>
      </c>
      <c r="E75" s="14" t="s">
        <v>84</v>
      </c>
      <c r="F75" s="13" t="s">
        <v>608</v>
      </c>
      <c r="G75" s="56" t="s">
        <v>100</v>
      </c>
      <c r="H75" s="15"/>
      <c r="I75" s="15"/>
      <c r="J75" s="57">
        <f t="shared" si="4"/>
        <v>0</v>
      </c>
    </row>
    <row r="76" ht="28.8" spans="1:10">
      <c r="A76" s="12"/>
      <c r="B76" s="12"/>
      <c r="C76" s="13" t="s">
        <v>682</v>
      </c>
      <c r="D76" s="55" t="s">
        <v>20</v>
      </c>
      <c r="E76" s="14" t="s">
        <v>84</v>
      </c>
      <c r="F76" s="13" t="s">
        <v>609</v>
      </c>
      <c r="G76" s="56" t="s">
        <v>63</v>
      </c>
      <c r="H76" s="15"/>
      <c r="I76" s="15"/>
      <c r="J76" s="57">
        <f t="shared" si="4"/>
        <v>0</v>
      </c>
    </row>
    <row r="77" ht="28.8" spans="1:10">
      <c r="A77" s="12"/>
      <c r="B77" s="12"/>
      <c r="C77" s="13" t="s">
        <v>682</v>
      </c>
      <c r="D77" s="55" t="s">
        <v>20</v>
      </c>
      <c r="E77" s="14" t="s">
        <v>84</v>
      </c>
      <c r="F77" s="13" t="s">
        <v>683</v>
      </c>
      <c r="G77" s="56" t="s">
        <v>611</v>
      </c>
      <c r="H77" s="15"/>
      <c r="I77" s="15"/>
      <c r="J77" s="57">
        <f t="shared" si="4"/>
        <v>0</v>
      </c>
    </row>
    <row r="78" ht="28.8" spans="1:10">
      <c r="A78" s="12"/>
      <c r="B78" s="12"/>
      <c r="C78" s="13" t="s">
        <v>682</v>
      </c>
      <c r="D78" s="55" t="s">
        <v>20</v>
      </c>
      <c r="E78" s="14" t="s">
        <v>84</v>
      </c>
      <c r="F78" s="13" t="s">
        <v>610</v>
      </c>
      <c r="G78" s="56" t="s">
        <v>611</v>
      </c>
      <c r="H78" s="15"/>
      <c r="I78" s="15"/>
      <c r="J78" s="57">
        <f t="shared" si="4"/>
        <v>0</v>
      </c>
    </row>
    <row r="79" ht="28.8" spans="1:10">
      <c r="A79" s="12"/>
      <c r="B79" s="12"/>
      <c r="C79" s="13" t="s">
        <v>682</v>
      </c>
      <c r="D79" s="55" t="s">
        <v>20</v>
      </c>
      <c r="E79" s="14" t="s">
        <v>84</v>
      </c>
      <c r="F79" s="13" t="s">
        <v>612</v>
      </c>
      <c r="G79" s="56" t="s">
        <v>611</v>
      </c>
      <c r="H79" s="15"/>
      <c r="I79" s="15"/>
      <c r="J79" s="57">
        <f t="shared" si="4"/>
        <v>0</v>
      </c>
    </row>
    <row r="80" ht="28.8" spans="1:10">
      <c r="A80" s="12"/>
      <c r="B80" s="12"/>
      <c r="C80" s="13" t="s">
        <v>682</v>
      </c>
      <c r="D80" s="55" t="s">
        <v>20</v>
      </c>
      <c r="E80" s="14" t="s">
        <v>84</v>
      </c>
      <c r="F80" s="13" t="s">
        <v>684</v>
      </c>
      <c r="G80" s="56" t="s">
        <v>23</v>
      </c>
      <c r="H80" s="15"/>
      <c r="I80" s="15"/>
      <c r="J80" s="57">
        <f t="shared" si="4"/>
        <v>0</v>
      </c>
    </row>
    <row r="81" ht="28.8" spans="1:10">
      <c r="A81" s="12"/>
      <c r="B81" s="12"/>
      <c r="C81" s="13" t="s">
        <v>706</v>
      </c>
      <c r="D81" s="55" t="s">
        <v>20</v>
      </c>
      <c r="E81" s="14" t="s">
        <v>624</v>
      </c>
      <c r="F81" s="13" t="s">
        <v>625</v>
      </c>
      <c r="G81" s="56" t="s">
        <v>23</v>
      </c>
      <c r="H81" s="15"/>
      <c r="I81" s="15"/>
      <c r="J81" s="57">
        <f t="shared" ref="J70:J113" si="5">+ROUND(PRODUCT(H81*I81),0)</f>
        <v>0</v>
      </c>
    </row>
    <row r="82" ht="28.8" spans="1:10">
      <c r="A82" s="12"/>
      <c r="B82" s="12"/>
      <c r="C82" s="13" t="s">
        <v>706</v>
      </c>
      <c r="D82" s="55" t="s">
        <v>20</v>
      </c>
      <c r="E82" s="14" t="s">
        <v>624</v>
      </c>
      <c r="F82" s="13" t="s">
        <v>626</v>
      </c>
      <c r="G82" s="56" t="s">
        <v>23</v>
      </c>
      <c r="H82" s="15"/>
      <c r="I82" s="15"/>
      <c r="J82" s="57">
        <f t="shared" si="5"/>
        <v>0</v>
      </c>
    </row>
    <row r="83" ht="28.8" spans="1:10">
      <c r="A83" s="12"/>
      <c r="B83" s="12"/>
      <c r="C83" s="13" t="s">
        <v>706</v>
      </c>
      <c r="D83" s="55" t="s">
        <v>20</v>
      </c>
      <c r="E83" s="14" t="s">
        <v>624</v>
      </c>
      <c r="F83" s="13" t="s">
        <v>627</v>
      </c>
      <c r="G83" s="56" t="s">
        <v>23</v>
      </c>
      <c r="H83" s="15"/>
      <c r="I83" s="15"/>
      <c r="J83" s="57">
        <f t="shared" si="5"/>
        <v>0</v>
      </c>
    </row>
    <row r="84" ht="28.8" spans="1:10">
      <c r="A84" s="12"/>
      <c r="B84" s="12"/>
      <c r="C84" s="13" t="s">
        <v>706</v>
      </c>
      <c r="D84" s="55" t="s">
        <v>20</v>
      </c>
      <c r="E84" s="14" t="s">
        <v>624</v>
      </c>
      <c r="F84" s="13" t="s">
        <v>628</v>
      </c>
      <c r="G84" s="56" t="s">
        <v>23</v>
      </c>
      <c r="H84" s="15"/>
      <c r="I84" s="15"/>
      <c r="J84" s="57">
        <f t="shared" si="5"/>
        <v>0</v>
      </c>
    </row>
    <row r="85" ht="28.8" spans="1:10">
      <c r="A85" s="12"/>
      <c r="B85" s="12"/>
      <c r="C85" s="13" t="s">
        <v>706</v>
      </c>
      <c r="D85" s="55" t="s">
        <v>20</v>
      </c>
      <c r="E85" s="14" t="s">
        <v>624</v>
      </c>
      <c r="F85" s="13" t="s">
        <v>629</v>
      </c>
      <c r="G85" s="56" t="s">
        <v>23</v>
      </c>
      <c r="H85" s="15"/>
      <c r="I85" s="15"/>
      <c r="J85" s="57">
        <f t="shared" si="5"/>
        <v>0</v>
      </c>
    </row>
    <row r="86" ht="28.8" spans="1:10">
      <c r="A86" s="12"/>
      <c r="B86" s="12"/>
      <c r="C86" s="13" t="s">
        <v>710</v>
      </c>
      <c r="D86" s="55" t="s">
        <v>11</v>
      </c>
      <c r="E86" s="14" t="s">
        <v>634</v>
      </c>
      <c r="F86" s="13" t="s">
        <v>635</v>
      </c>
      <c r="G86" s="56" t="s">
        <v>23</v>
      </c>
      <c r="H86" s="15"/>
      <c r="I86" s="15"/>
      <c r="J86" s="57">
        <f t="shared" si="5"/>
        <v>0</v>
      </c>
    </row>
    <row r="87" ht="28.8" spans="1:10">
      <c r="A87" s="12"/>
      <c r="B87" s="12"/>
      <c r="C87" s="13" t="s">
        <v>710</v>
      </c>
      <c r="D87" s="55" t="s">
        <v>20</v>
      </c>
      <c r="E87" s="14" t="s">
        <v>636</v>
      </c>
      <c r="F87" s="13" t="s">
        <v>637</v>
      </c>
      <c r="G87" s="56" t="s">
        <v>23</v>
      </c>
      <c r="H87" s="15"/>
      <c r="I87" s="15"/>
      <c r="J87" s="57">
        <f t="shared" si="5"/>
        <v>0</v>
      </c>
    </row>
    <row r="88" ht="28.8" spans="1:10">
      <c r="A88" s="12"/>
      <c r="B88" s="12"/>
      <c r="C88" s="13" t="s">
        <v>714</v>
      </c>
      <c r="D88" s="55" t="s">
        <v>11</v>
      </c>
      <c r="E88" s="14" t="s">
        <v>634</v>
      </c>
      <c r="F88" s="13" t="s">
        <v>640</v>
      </c>
      <c r="G88" s="56" t="s">
        <v>23</v>
      </c>
      <c r="H88" s="15"/>
      <c r="I88" s="15"/>
      <c r="J88" s="57">
        <f t="shared" si="5"/>
        <v>0</v>
      </c>
    </row>
    <row r="89" ht="28.8" spans="1:10">
      <c r="A89" s="12"/>
      <c r="B89" s="12"/>
      <c r="C89" s="13" t="s">
        <v>714</v>
      </c>
      <c r="D89" s="55" t="s">
        <v>20</v>
      </c>
      <c r="E89" s="14" t="s">
        <v>636</v>
      </c>
      <c r="F89" s="13" t="s">
        <v>641</v>
      </c>
      <c r="G89" s="56" t="s">
        <v>23</v>
      </c>
      <c r="H89" s="15"/>
      <c r="I89" s="15"/>
      <c r="J89" s="57">
        <f t="shared" si="5"/>
        <v>0</v>
      </c>
    </row>
    <row r="90" ht="28.8" spans="1:10">
      <c r="A90" s="12"/>
      <c r="B90" s="12"/>
      <c r="C90" s="13" t="s">
        <v>722</v>
      </c>
      <c r="D90" s="55" t="s">
        <v>11</v>
      </c>
      <c r="E90" s="14" t="s">
        <v>634</v>
      </c>
      <c r="F90" s="13" t="s">
        <v>635</v>
      </c>
      <c r="G90" s="56" t="s">
        <v>23</v>
      </c>
      <c r="H90" s="15"/>
      <c r="I90" s="15"/>
      <c r="J90" s="57">
        <f t="shared" si="5"/>
        <v>0</v>
      </c>
    </row>
    <row r="91" ht="28.8" spans="1:10">
      <c r="A91" s="12"/>
      <c r="B91" s="12"/>
      <c r="C91" s="13" t="s">
        <v>722</v>
      </c>
      <c r="D91" s="55" t="s">
        <v>11</v>
      </c>
      <c r="E91" s="14" t="s">
        <v>634</v>
      </c>
      <c r="F91" s="13" t="s">
        <v>640</v>
      </c>
      <c r="G91" s="56" t="s">
        <v>23</v>
      </c>
      <c r="H91" s="15"/>
      <c r="I91" s="15"/>
      <c r="J91" s="57">
        <f t="shared" si="5"/>
        <v>0</v>
      </c>
    </row>
    <row r="92" ht="28.8" spans="1:10">
      <c r="A92" s="12"/>
      <c r="B92" s="12"/>
      <c r="C92" s="13" t="s">
        <v>722</v>
      </c>
      <c r="D92" s="55" t="s">
        <v>20</v>
      </c>
      <c r="E92" s="14" t="s">
        <v>636</v>
      </c>
      <c r="F92" s="13" t="s">
        <v>647</v>
      </c>
      <c r="G92" s="56" t="s">
        <v>23</v>
      </c>
      <c r="H92" s="15"/>
      <c r="I92" s="15"/>
      <c r="J92" s="57">
        <f t="shared" si="5"/>
        <v>0</v>
      </c>
    </row>
    <row r="93" ht="28.8" spans="1:10">
      <c r="A93" s="12"/>
      <c r="B93" s="12"/>
      <c r="C93" s="13" t="s">
        <v>726</v>
      </c>
      <c r="D93" s="55" t="s">
        <v>11</v>
      </c>
      <c r="E93" s="14" t="s">
        <v>634</v>
      </c>
      <c r="F93" s="13" t="s">
        <v>640</v>
      </c>
      <c r="G93" s="56" t="s">
        <v>23</v>
      </c>
      <c r="H93" s="15"/>
      <c r="I93" s="15"/>
      <c r="J93" s="57">
        <f t="shared" si="5"/>
        <v>0</v>
      </c>
    </row>
    <row r="94" ht="28.8" spans="1:10">
      <c r="A94" s="12"/>
      <c r="B94" s="12"/>
      <c r="C94" s="13" t="s">
        <v>730</v>
      </c>
      <c r="D94" s="55" t="s">
        <v>11</v>
      </c>
      <c r="E94" s="14" t="s">
        <v>634</v>
      </c>
      <c r="F94" s="13" t="s">
        <v>635</v>
      </c>
      <c r="G94" s="56" t="s">
        <v>23</v>
      </c>
      <c r="H94" s="15"/>
      <c r="I94" s="15"/>
      <c r="J94" s="57">
        <f t="shared" si="5"/>
        <v>0</v>
      </c>
    </row>
    <row r="95" ht="28.8" spans="1:10">
      <c r="A95" s="12"/>
      <c r="B95" s="12"/>
      <c r="C95" s="13" t="s">
        <v>769</v>
      </c>
      <c r="D95" s="55" t="s">
        <v>11</v>
      </c>
      <c r="E95" s="14" t="s">
        <v>12</v>
      </c>
      <c r="F95" s="13" t="s">
        <v>13</v>
      </c>
      <c r="G95" s="56" t="s">
        <v>14</v>
      </c>
      <c r="H95" s="15"/>
      <c r="I95" s="15"/>
      <c r="J95" s="57">
        <f t="shared" si="5"/>
        <v>0</v>
      </c>
    </row>
    <row r="96" ht="28.8" spans="1:10">
      <c r="A96" s="12"/>
      <c r="B96" s="12"/>
      <c r="C96" s="13" t="s">
        <v>769</v>
      </c>
      <c r="D96" s="55" t="s">
        <v>11</v>
      </c>
      <c r="E96" s="14" t="s">
        <v>12</v>
      </c>
      <c r="F96" s="13" t="s">
        <v>15</v>
      </c>
      <c r="G96" s="56" t="s">
        <v>14</v>
      </c>
      <c r="H96" s="15"/>
      <c r="I96" s="15"/>
      <c r="J96" s="57">
        <f t="shared" si="5"/>
        <v>0</v>
      </c>
    </row>
    <row r="97" ht="28.8" spans="1:10">
      <c r="A97" s="12"/>
      <c r="B97" s="12"/>
      <c r="C97" s="13" t="s">
        <v>769</v>
      </c>
      <c r="D97" s="55" t="s">
        <v>11</v>
      </c>
      <c r="E97" s="14" t="s">
        <v>12</v>
      </c>
      <c r="F97" s="13" t="s">
        <v>28</v>
      </c>
      <c r="G97" s="56" t="s">
        <v>14</v>
      </c>
      <c r="H97" s="15"/>
      <c r="I97" s="15"/>
      <c r="J97" s="57">
        <f t="shared" si="5"/>
        <v>0</v>
      </c>
    </row>
    <row r="98" ht="28.8" spans="1:10">
      <c r="A98" s="12"/>
      <c r="B98" s="12"/>
      <c r="C98" s="13" t="s">
        <v>769</v>
      </c>
      <c r="D98" s="55" t="s">
        <v>20</v>
      </c>
      <c r="E98" s="14" t="s">
        <v>106</v>
      </c>
      <c r="F98" s="13" t="s">
        <v>107</v>
      </c>
      <c r="G98" s="56" t="s">
        <v>108</v>
      </c>
      <c r="H98" s="15"/>
      <c r="I98" s="15"/>
      <c r="J98" s="57">
        <f t="shared" si="5"/>
        <v>0</v>
      </c>
    </row>
    <row r="99" ht="28.8" spans="1:10">
      <c r="A99" s="12"/>
      <c r="B99" s="12"/>
      <c r="C99" s="13" t="s">
        <v>769</v>
      </c>
      <c r="D99" s="55" t="s">
        <v>20</v>
      </c>
      <c r="E99" s="14" t="s">
        <v>596</v>
      </c>
      <c r="F99" s="13" t="s">
        <v>597</v>
      </c>
      <c r="G99" s="56" t="s">
        <v>46</v>
      </c>
      <c r="H99" s="15"/>
      <c r="I99" s="15"/>
      <c r="J99" s="57">
        <f t="shared" si="5"/>
        <v>0</v>
      </c>
    </row>
    <row r="100" ht="28.8" spans="1:10">
      <c r="A100" s="12"/>
      <c r="B100" s="12"/>
      <c r="C100" s="13" t="s">
        <v>771</v>
      </c>
      <c r="D100" s="55" t="s">
        <v>20</v>
      </c>
      <c r="E100" s="14" t="s">
        <v>47</v>
      </c>
      <c r="F100" s="13" t="s">
        <v>50</v>
      </c>
      <c r="G100" s="56" t="s">
        <v>49</v>
      </c>
      <c r="H100" s="15"/>
      <c r="I100" s="15"/>
      <c r="J100" s="57">
        <f t="shared" si="5"/>
        <v>0</v>
      </c>
    </row>
    <row r="101" ht="28.8" spans="1:10">
      <c r="A101" s="12"/>
      <c r="B101" s="12"/>
      <c r="C101" s="13" t="s">
        <v>771</v>
      </c>
      <c r="D101" s="55" t="s">
        <v>20</v>
      </c>
      <c r="E101" s="14" t="s">
        <v>61</v>
      </c>
      <c r="F101" s="13" t="s">
        <v>78</v>
      </c>
      <c r="G101" s="56" t="s">
        <v>49</v>
      </c>
      <c r="H101" s="15"/>
      <c r="I101" s="15"/>
      <c r="J101" s="57">
        <f t="shared" si="5"/>
        <v>0</v>
      </c>
    </row>
    <row r="102" ht="28.8" spans="1:10">
      <c r="A102" s="12"/>
      <c r="B102" s="12"/>
      <c r="C102" s="13" t="s">
        <v>771</v>
      </c>
      <c r="D102" s="55" t="s">
        <v>20</v>
      </c>
      <c r="E102" s="14" t="s">
        <v>84</v>
      </c>
      <c r="F102" s="13" t="s">
        <v>86</v>
      </c>
      <c r="G102" s="56" t="s">
        <v>49</v>
      </c>
      <c r="H102" s="15"/>
      <c r="I102" s="15"/>
      <c r="J102" s="57">
        <f t="shared" si="5"/>
        <v>0</v>
      </c>
    </row>
    <row r="103" ht="28.8" spans="1:10">
      <c r="A103" s="12"/>
      <c r="B103" s="12"/>
      <c r="C103" s="13" t="s">
        <v>771</v>
      </c>
      <c r="D103" s="55" t="s">
        <v>20</v>
      </c>
      <c r="E103" s="14" t="s">
        <v>84</v>
      </c>
      <c r="F103" s="13" t="s">
        <v>88</v>
      </c>
      <c r="G103" s="56" t="s">
        <v>49</v>
      </c>
      <c r="H103" s="15"/>
      <c r="I103" s="15"/>
      <c r="J103" s="57">
        <f t="shared" si="5"/>
        <v>0</v>
      </c>
    </row>
    <row r="104" ht="28.8" spans="1:10">
      <c r="A104" s="12"/>
      <c r="B104" s="12"/>
      <c r="C104" s="13" t="s">
        <v>771</v>
      </c>
      <c r="D104" s="55" t="s">
        <v>20</v>
      </c>
      <c r="E104" s="14" t="s">
        <v>84</v>
      </c>
      <c r="F104" s="13" t="s">
        <v>89</v>
      </c>
      <c r="G104" s="56" t="s">
        <v>49</v>
      </c>
      <c r="H104" s="15"/>
      <c r="I104" s="15"/>
      <c r="J104" s="57">
        <f t="shared" si="5"/>
        <v>0</v>
      </c>
    </row>
    <row r="105" ht="28.8" spans="1:10">
      <c r="A105" s="12"/>
      <c r="B105" s="12"/>
      <c r="C105" s="13" t="s">
        <v>771</v>
      </c>
      <c r="D105" s="55" t="s">
        <v>20</v>
      </c>
      <c r="E105" s="14" t="s">
        <v>84</v>
      </c>
      <c r="F105" s="13" t="s">
        <v>608</v>
      </c>
      <c r="G105" s="56" t="s">
        <v>100</v>
      </c>
      <c r="H105" s="15"/>
      <c r="I105" s="15"/>
      <c r="J105" s="57">
        <f t="shared" si="5"/>
        <v>0</v>
      </c>
    </row>
    <row r="106" ht="28.8" spans="1:10">
      <c r="A106" s="12"/>
      <c r="B106" s="12"/>
      <c r="C106" s="13" t="s">
        <v>771</v>
      </c>
      <c r="D106" s="55" t="s">
        <v>20</v>
      </c>
      <c r="E106" s="14" t="s">
        <v>84</v>
      </c>
      <c r="F106" s="13" t="s">
        <v>609</v>
      </c>
      <c r="G106" s="56" t="s">
        <v>63</v>
      </c>
      <c r="H106" s="15"/>
      <c r="I106" s="15"/>
      <c r="J106" s="57">
        <f t="shared" si="5"/>
        <v>0</v>
      </c>
    </row>
    <row r="107" ht="28.8" spans="1:10">
      <c r="A107" s="12"/>
      <c r="B107" s="12"/>
      <c r="C107" s="13" t="s">
        <v>771</v>
      </c>
      <c r="D107" s="55" t="s">
        <v>20</v>
      </c>
      <c r="E107" s="14" t="s">
        <v>84</v>
      </c>
      <c r="F107" s="13" t="s">
        <v>610</v>
      </c>
      <c r="G107" s="56" t="s">
        <v>611</v>
      </c>
      <c r="H107" s="15"/>
      <c r="I107" s="15"/>
      <c r="J107" s="57">
        <f t="shared" si="5"/>
        <v>0</v>
      </c>
    </row>
    <row r="108" ht="28.8" spans="1:10">
      <c r="A108" s="12"/>
      <c r="B108" s="12"/>
      <c r="C108" s="13" t="s">
        <v>771</v>
      </c>
      <c r="D108" s="55" t="s">
        <v>20</v>
      </c>
      <c r="E108" s="14" t="s">
        <v>84</v>
      </c>
      <c r="F108" s="13" t="s">
        <v>612</v>
      </c>
      <c r="G108" s="56" t="s">
        <v>611</v>
      </c>
      <c r="H108" s="15"/>
      <c r="I108" s="15"/>
      <c r="J108" s="57">
        <f t="shared" si="5"/>
        <v>0</v>
      </c>
    </row>
    <row r="109" ht="28.8" spans="1:10">
      <c r="A109" s="12"/>
      <c r="B109" s="12"/>
      <c r="C109" s="13" t="s">
        <v>773</v>
      </c>
      <c r="D109" s="55" t="s">
        <v>20</v>
      </c>
      <c r="E109" s="14" t="s">
        <v>624</v>
      </c>
      <c r="F109" s="13" t="s">
        <v>625</v>
      </c>
      <c r="G109" s="56" t="s">
        <v>23</v>
      </c>
      <c r="H109" s="15"/>
      <c r="I109" s="15"/>
      <c r="J109" s="57">
        <f t="shared" si="5"/>
        <v>0</v>
      </c>
    </row>
    <row r="110" ht="28.8" spans="1:10">
      <c r="A110" s="12"/>
      <c r="B110" s="12"/>
      <c r="C110" s="13" t="s">
        <v>773</v>
      </c>
      <c r="D110" s="55" t="s">
        <v>20</v>
      </c>
      <c r="E110" s="14" t="s">
        <v>624</v>
      </c>
      <c r="F110" s="13" t="s">
        <v>626</v>
      </c>
      <c r="G110" s="56" t="s">
        <v>23</v>
      </c>
      <c r="H110" s="15"/>
      <c r="I110" s="15"/>
      <c r="J110" s="57">
        <f t="shared" si="5"/>
        <v>0</v>
      </c>
    </row>
    <row r="111" ht="28.8" spans="1:10">
      <c r="A111" s="12"/>
      <c r="B111" s="12"/>
      <c r="C111" s="13" t="s">
        <v>773</v>
      </c>
      <c r="D111" s="55" t="s">
        <v>20</v>
      </c>
      <c r="E111" s="14" t="s">
        <v>624</v>
      </c>
      <c r="F111" s="13" t="s">
        <v>627</v>
      </c>
      <c r="G111" s="56" t="s">
        <v>23</v>
      </c>
      <c r="H111" s="15"/>
      <c r="I111" s="15"/>
      <c r="J111" s="57">
        <f t="shared" si="5"/>
        <v>0</v>
      </c>
    </row>
    <row r="112" ht="28.8" spans="1:10">
      <c r="A112" s="12"/>
      <c r="B112" s="12"/>
      <c r="C112" s="13" t="s">
        <v>773</v>
      </c>
      <c r="D112" s="55" t="s">
        <v>20</v>
      </c>
      <c r="E112" s="14" t="s">
        <v>624</v>
      </c>
      <c r="F112" s="13" t="s">
        <v>628</v>
      </c>
      <c r="G112" s="56" t="s">
        <v>23</v>
      </c>
      <c r="H112" s="15"/>
      <c r="I112" s="15"/>
      <c r="J112" s="57">
        <f t="shared" si="5"/>
        <v>0</v>
      </c>
    </row>
    <row r="113" ht="28.8" spans="1:10">
      <c r="A113" s="12"/>
      <c r="B113" s="12"/>
      <c r="C113" s="13" t="s">
        <v>773</v>
      </c>
      <c r="D113" s="55" t="s">
        <v>11</v>
      </c>
      <c r="E113" s="14" t="s">
        <v>630</v>
      </c>
      <c r="F113" s="13" t="s">
        <v>631</v>
      </c>
      <c r="G113" s="56" t="s">
        <v>17</v>
      </c>
      <c r="H113" s="15"/>
      <c r="I113" s="15"/>
      <c r="J113" s="57">
        <f t="shared" si="5"/>
        <v>0</v>
      </c>
    </row>
    <row r="114" ht="28.8" spans="1:10">
      <c r="A114" s="12"/>
      <c r="B114" s="12"/>
      <c r="C114" s="13" t="s">
        <v>777</v>
      </c>
      <c r="D114" s="55" t="s">
        <v>20</v>
      </c>
      <c r="E114" s="14" t="s">
        <v>624</v>
      </c>
      <c r="F114" s="13" t="s">
        <v>625</v>
      </c>
      <c r="G114" s="56" t="s">
        <v>23</v>
      </c>
      <c r="H114" s="15"/>
      <c r="I114" s="15"/>
      <c r="J114" s="57">
        <f t="shared" ref="J114:J173" si="6">+ROUND(PRODUCT(H114*I114),0)</f>
        <v>0</v>
      </c>
    </row>
    <row r="115" ht="28.8" spans="1:10">
      <c r="A115" s="12"/>
      <c r="B115" s="12"/>
      <c r="C115" s="13" t="s">
        <v>777</v>
      </c>
      <c r="D115" s="55" t="s">
        <v>20</v>
      </c>
      <c r="E115" s="14" t="s">
        <v>624</v>
      </c>
      <c r="F115" s="13" t="s">
        <v>626</v>
      </c>
      <c r="G115" s="56" t="s">
        <v>23</v>
      </c>
      <c r="H115" s="15"/>
      <c r="I115" s="15"/>
      <c r="J115" s="57">
        <f t="shared" si="6"/>
        <v>0</v>
      </c>
    </row>
    <row r="116" ht="28.8" spans="1:10">
      <c r="A116" s="12"/>
      <c r="B116" s="12"/>
      <c r="C116" s="13" t="s">
        <v>777</v>
      </c>
      <c r="D116" s="55" t="s">
        <v>20</v>
      </c>
      <c r="E116" s="14" t="s">
        <v>624</v>
      </c>
      <c r="F116" s="13" t="s">
        <v>627</v>
      </c>
      <c r="G116" s="56" t="s">
        <v>23</v>
      </c>
      <c r="H116" s="15"/>
      <c r="I116" s="15"/>
      <c r="J116" s="57">
        <f t="shared" si="6"/>
        <v>0</v>
      </c>
    </row>
    <row r="117" ht="28.8" spans="1:10">
      <c r="A117" s="12"/>
      <c r="B117" s="12"/>
      <c r="C117" s="13" t="s">
        <v>777</v>
      </c>
      <c r="D117" s="55" t="s">
        <v>20</v>
      </c>
      <c r="E117" s="14" t="s">
        <v>624</v>
      </c>
      <c r="F117" s="13" t="s">
        <v>628</v>
      </c>
      <c r="G117" s="56" t="s">
        <v>23</v>
      </c>
      <c r="H117" s="15"/>
      <c r="I117" s="15"/>
      <c r="J117" s="57">
        <f t="shared" si="6"/>
        <v>0</v>
      </c>
    </row>
    <row r="118" ht="28.8" spans="1:10">
      <c r="A118" s="12"/>
      <c r="B118" s="12"/>
      <c r="C118" s="13" t="s">
        <v>777</v>
      </c>
      <c r="D118" s="55" t="s">
        <v>11</v>
      </c>
      <c r="E118" s="14" t="s">
        <v>630</v>
      </c>
      <c r="F118" s="13" t="s">
        <v>631</v>
      </c>
      <c r="G118" s="56" t="s">
        <v>17</v>
      </c>
      <c r="H118" s="15"/>
      <c r="I118" s="15"/>
      <c r="J118" s="57">
        <f t="shared" si="6"/>
        <v>0</v>
      </c>
    </row>
    <row r="119" ht="28.8" spans="1:10">
      <c r="A119" s="12"/>
      <c r="B119" s="12"/>
      <c r="C119" s="13" t="s">
        <v>779</v>
      </c>
      <c r="D119" s="55" t="s">
        <v>20</v>
      </c>
      <c r="E119" s="14" t="s">
        <v>47</v>
      </c>
      <c r="F119" s="13" t="s">
        <v>48</v>
      </c>
      <c r="G119" s="56" t="s">
        <v>49</v>
      </c>
      <c r="H119" s="15"/>
      <c r="I119" s="15"/>
      <c r="J119" s="57">
        <f t="shared" si="6"/>
        <v>0</v>
      </c>
    </row>
    <row r="120" ht="28.8" spans="1:10">
      <c r="A120" s="12"/>
      <c r="B120" s="12"/>
      <c r="C120" s="13" t="s">
        <v>779</v>
      </c>
      <c r="D120" s="55" t="s">
        <v>20</v>
      </c>
      <c r="E120" s="14" t="s">
        <v>624</v>
      </c>
      <c r="F120" s="13" t="s">
        <v>625</v>
      </c>
      <c r="G120" s="56" t="s">
        <v>23</v>
      </c>
      <c r="H120" s="15"/>
      <c r="I120" s="15"/>
      <c r="J120" s="57">
        <f t="shared" si="6"/>
        <v>0</v>
      </c>
    </row>
    <row r="121" ht="28.8" spans="1:10">
      <c r="A121" s="12"/>
      <c r="B121" s="12"/>
      <c r="C121" s="13" t="s">
        <v>779</v>
      </c>
      <c r="D121" s="55" t="s">
        <v>20</v>
      </c>
      <c r="E121" s="14" t="s">
        <v>624</v>
      </c>
      <c r="F121" s="13" t="s">
        <v>626</v>
      </c>
      <c r="G121" s="56" t="s">
        <v>23</v>
      </c>
      <c r="H121" s="15"/>
      <c r="I121" s="15"/>
      <c r="J121" s="57">
        <f t="shared" si="6"/>
        <v>0</v>
      </c>
    </row>
    <row r="122" ht="28.8" spans="1:10">
      <c r="A122" s="12"/>
      <c r="B122" s="12"/>
      <c r="C122" s="13" t="s">
        <v>779</v>
      </c>
      <c r="D122" s="55" t="s">
        <v>20</v>
      </c>
      <c r="E122" s="14" t="s">
        <v>624</v>
      </c>
      <c r="F122" s="13" t="s">
        <v>627</v>
      </c>
      <c r="G122" s="56" t="s">
        <v>23</v>
      </c>
      <c r="H122" s="15"/>
      <c r="I122" s="15"/>
      <c r="J122" s="57">
        <f t="shared" si="6"/>
        <v>0</v>
      </c>
    </row>
    <row r="123" ht="28.8" spans="1:10">
      <c r="A123" s="12"/>
      <c r="B123" s="12"/>
      <c r="C123" s="13" t="s">
        <v>779</v>
      </c>
      <c r="D123" s="55" t="s">
        <v>20</v>
      </c>
      <c r="E123" s="14" t="s">
        <v>624</v>
      </c>
      <c r="F123" s="13" t="s">
        <v>628</v>
      </c>
      <c r="G123" s="56" t="s">
        <v>23</v>
      </c>
      <c r="H123" s="15"/>
      <c r="I123" s="15"/>
      <c r="J123" s="57">
        <f t="shared" si="6"/>
        <v>0</v>
      </c>
    </row>
    <row r="124" ht="28.8" spans="1:10">
      <c r="A124" s="12"/>
      <c r="B124" s="12"/>
      <c r="C124" s="13" t="s">
        <v>779</v>
      </c>
      <c r="D124" s="55" t="s">
        <v>11</v>
      </c>
      <c r="E124" s="14" t="s">
        <v>630</v>
      </c>
      <c r="F124" s="13" t="s">
        <v>631</v>
      </c>
      <c r="G124" s="56" t="s">
        <v>17</v>
      </c>
      <c r="H124" s="15"/>
      <c r="I124" s="15"/>
      <c r="J124" s="57">
        <f t="shared" si="6"/>
        <v>0</v>
      </c>
    </row>
    <row r="125" ht="28.8" spans="1:10">
      <c r="A125" s="12"/>
      <c r="B125" s="12"/>
      <c r="C125" s="13" t="s">
        <v>781</v>
      </c>
      <c r="D125" s="55" t="s">
        <v>20</v>
      </c>
      <c r="E125" s="14" t="s">
        <v>47</v>
      </c>
      <c r="F125" s="13" t="s">
        <v>48</v>
      </c>
      <c r="G125" s="56" t="s">
        <v>49</v>
      </c>
      <c r="H125" s="15"/>
      <c r="I125" s="15"/>
      <c r="J125" s="57">
        <f t="shared" si="6"/>
        <v>0</v>
      </c>
    </row>
    <row r="126" ht="28.8" spans="1:10">
      <c r="A126" s="12"/>
      <c r="B126" s="12"/>
      <c r="C126" s="13" t="s">
        <v>781</v>
      </c>
      <c r="D126" s="55" t="s">
        <v>20</v>
      </c>
      <c r="E126" s="14" t="s">
        <v>624</v>
      </c>
      <c r="F126" s="13" t="s">
        <v>625</v>
      </c>
      <c r="G126" s="56" t="s">
        <v>23</v>
      </c>
      <c r="H126" s="15"/>
      <c r="I126" s="15"/>
      <c r="J126" s="57">
        <f t="shared" si="6"/>
        <v>0</v>
      </c>
    </row>
    <row r="127" ht="28.8" spans="1:10">
      <c r="A127" s="12"/>
      <c r="B127" s="12"/>
      <c r="C127" s="13" t="s">
        <v>781</v>
      </c>
      <c r="D127" s="55" t="s">
        <v>20</v>
      </c>
      <c r="E127" s="14" t="s">
        <v>624</v>
      </c>
      <c r="F127" s="13" t="s">
        <v>626</v>
      </c>
      <c r="G127" s="56" t="s">
        <v>23</v>
      </c>
      <c r="H127" s="15"/>
      <c r="I127" s="15"/>
      <c r="J127" s="57">
        <f t="shared" si="6"/>
        <v>0</v>
      </c>
    </row>
    <row r="128" ht="28.8" spans="1:10">
      <c r="A128" s="12"/>
      <c r="B128" s="12"/>
      <c r="C128" s="13" t="s">
        <v>781</v>
      </c>
      <c r="D128" s="55" t="s">
        <v>20</v>
      </c>
      <c r="E128" s="14" t="s">
        <v>624</v>
      </c>
      <c r="F128" s="13" t="s">
        <v>627</v>
      </c>
      <c r="G128" s="56" t="s">
        <v>23</v>
      </c>
      <c r="H128" s="15"/>
      <c r="I128" s="15"/>
      <c r="J128" s="57">
        <f t="shared" si="6"/>
        <v>0</v>
      </c>
    </row>
    <row r="129" ht="28.8" spans="1:10">
      <c r="A129" s="12"/>
      <c r="B129" s="12"/>
      <c r="C129" s="13" t="s">
        <v>781</v>
      </c>
      <c r="D129" s="55" t="s">
        <v>20</v>
      </c>
      <c r="E129" s="14" t="s">
        <v>624</v>
      </c>
      <c r="F129" s="13" t="s">
        <v>628</v>
      </c>
      <c r="G129" s="56" t="s">
        <v>23</v>
      </c>
      <c r="H129" s="15"/>
      <c r="I129" s="15"/>
      <c r="J129" s="57">
        <f t="shared" si="6"/>
        <v>0</v>
      </c>
    </row>
    <row r="130" ht="28.8" spans="1:10">
      <c r="A130" s="12"/>
      <c r="B130" s="12"/>
      <c r="C130" s="13" t="s">
        <v>781</v>
      </c>
      <c r="D130" s="55" t="s">
        <v>11</v>
      </c>
      <c r="E130" s="14" t="s">
        <v>630</v>
      </c>
      <c r="F130" s="13" t="s">
        <v>631</v>
      </c>
      <c r="G130" s="56" t="s">
        <v>17</v>
      </c>
      <c r="H130" s="15"/>
      <c r="I130" s="15"/>
      <c r="J130" s="57">
        <f t="shared" si="6"/>
        <v>0</v>
      </c>
    </row>
    <row r="131" ht="28.8" spans="1:10">
      <c r="A131" s="12"/>
      <c r="B131" s="12"/>
      <c r="C131" s="13" t="s">
        <v>783</v>
      </c>
      <c r="D131" s="55" t="s">
        <v>20</v>
      </c>
      <c r="E131" s="14" t="s">
        <v>47</v>
      </c>
      <c r="F131" s="13" t="s">
        <v>48</v>
      </c>
      <c r="G131" s="56" t="s">
        <v>49</v>
      </c>
      <c r="H131" s="15"/>
      <c r="I131" s="15"/>
      <c r="J131" s="57">
        <f t="shared" si="6"/>
        <v>0</v>
      </c>
    </row>
    <row r="132" ht="28.8" spans="1:10">
      <c r="A132" s="12"/>
      <c r="B132" s="12"/>
      <c r="C132" s="13" t="s">
        <v>783</v>
      </c>
      <c r="D132" s="55" t="s">
        <v>20</v>
      </c>
      <c r="E132" s="14" t="s">
        <v>624</v>
      </c>
      <c r="F132" s="13" t="s">
        <v>625</v>
      </c>
      <c r="G132" s="56" t="s">
        <v>23</v>
      </c>
      <c r="H132" s="15"/>
      <c r="I132" s="15"/>
      <c r="J132" s="57">
        <f t="shared" si="6"/>
        <v>0</v>
      </c>
    </row>
    <row r="133" ht="28.8" spans="1:10">
      <c r="A133" s="12"/>
      <c r="B133" s="12"/>
      <c r="C133" s="13" t="s">
        <v>783</v>
      </c>
      <c r="D133" s="55" t="s">
        <v>20</v>
      </c>
      <c r="E133" s="14" t="s">
        <v>624</v>
      </c>
      <c r="F133" s="13" t="s">
        <v>626</v>
      </c>
      <c r="G133" s="56" t="s">
        <v>23</v>
      </c>
      <c r="H133" s="15"/>
      <c r="I133" s="15"/>
      <c r="J133" s="57">
        <f t="shared" si="6"/>
        <v>0</v>
      </c>
    </row>
    <row r="134" ht="28.8" spans="1:10">
      <c r="A134" s="12"/>
      <c r="B134" s="12"/>
      <c r="C134" s="13" t="s">
        <v>783</v>
      </c>
      <c r="D134" s="55" t="s">
        <v>20</v>
      </c>
      <c r="E134" s="14" t="s">
        <v>624</v>
      </c>
      <c r="F134" s="13" t="s">
        <v>627</v>
      </c>
      <c r="G134" s="56" t="s">
        <v>23</v>
      </c>
      <c r="H134" s="15"/>
      <c r="I134" s="15"/>
      <c r="J134" s="57">
        <f t="shared" si="6"/>
        <v>0</v>
      </c>
    </row>
    <row r="135" ht="28.8" spans="1:10">
      <c r="A135" s="12"/>
      <c r="B135" s="12"/>
      <c r="C135" s="13" t="s">
        <v>783</v>
      </c>
      <c r="D135" s="55" t="s">
        <v>20</v>
      </c>
      <c r="E135" s="14" t="s">
        <v>624</v>
      </c>
      <c r="F135" s="13" t="s">
        <v>628</v>
      </c>
      <c r="G135" s="56" t="s">
        <v>23</v>
      </c>
      <c r="H135" s="15"/>
      <c r="I135" s="15"/>
      <c r="J135" s="57">
        <f t="shared" si="6"/>
        <v>0</v>
      </c>
    </row>
    <row r="136" ht="28.8" spans="1:10">
      <c r="A136" s="12"/>
      <c r="B136" s="12"/>
      <c r="C136" s="13" t="s">
        <v>783</v>
      </c>
      <c r="D136" s="55" t="s">
        <v>11</v>
      </c>
      <c r="E136" s="14" t="s">
        <v>630</v>
      </c>
      <c r="F136" s="13" t="s">
        <v>631</v>
      </c>
      <c r="G136" s="56" t="s">
        <v>17</v>
      </c>
      <c r="H136" s="15"/>
      <c r="I136" s="15"/>
      <c r="J136" s="57">
        <f t="shared" si="6"/>
        <v>0</v>
      </c>
    </row>
    <row r="137" ht="28.8" spans="1:10">
      <c r="A137" s="12"/>
      <c r="B137" s="12"/>
      <c r="C137" s="13" t="s">
        <v>785</v>
      </c>
      <c r="D137" s="55" t="s">
        <v>20</v>
      </c>
      <c r="E137" s="14" t="s">
        <v>47</v>
      </c>
      <c r="F137" s="13" t="s">
        <v>48</v>
      </c>
      <c r="G137" s="56" t="s">
        <v>49</v>
      </c>
      <c r="H137" s="15"/>
      <c r="I137" s="15"/>
      <c r="J137" s="57">
        <f t="shared" si="6"/>
        <v>0</v>
      </c>
    </row>
    <row r="138" ht="28.8" spans="1:10">
      <c r="A138" s="12"/>
      <c r="B138" s="12"/>
      <c r="C138" s="13" t="s">
        <v>785</v>
      </c>
      <c r="D138" s="55" t="s">
        <v>20</v>
      </c>
      <c r="E138" s="14" t="s">
        <v>624</v>
      </c>
      <c r="F138" s="13" t="s">
        <v>625</v>
      </c>
      <c r="G138" s="56" t="s">
        <v>23</v>
      </c>
      <c r="H138" s="15"/>
      <c r="I138" s="15"/>
      <c r="J138" s="57">
        <f t="shared" si="6"/>
        <v>0</v>
      </c>
    </row>
    <row r="139" ht="28.8" spans="1:10">
      <c r="A139" s="12"/>
      <c r="B139" s="12"/>
      <c r="C139" s="13" t="s">
        <v>785</v>
      </c>
      <c r="D139" s="55" t="s">
        <v>20</v>
      </c>
      <c r="E139" s="14" t="s">
        <v>624</v>
      </c>
      <c r="F139" s="13" t="s">
        <v>626</v>
      </c>
      <c r="G139" s="56" t="s">
        <v>23</v>
      </c>
      <c r="H139" s="15"/>
      <c r="I139" s="15"/>
      <c r="J139" s="57">
        <f t="shared" si="6"/>
        <v>0</v>
      </c>
    </row>
    <row r="140" ht="28.8" spans="1:10">
      <c r="A140" s="12"/>
      <c r="B140" s="12"/>
      <c r="C140" s="13" t="s">
        <v>785</v>
      </c>
      <c r="D140" s="55" t="s">
        <v>20</v>
      </c>
      <c r="E140" s="14" t="s">
        <v>624</v>
      </c>
      <c r="F140" s="13" t="s">
        <v>627</v>
      </c>
      <c r="G140" s="56" t="s">
        <v>23</v>
      </c>
      <c r="H140" s="15"/>
      <c r="I140" s="15"/>
      <c r="J140" s="57">
        <f t="shared" si="6"/>
        <v>0</v>
      </c>
    </row>
    <row r="141" ht="28.8" spans="1:10">
      <c r="A141" s="12"/>
      <c r="B141" s="12"/>
      <c r="C141" s="13" t="s">
        <v>785</v>
      </c>
      <c r="D141" s="55" t="s">
        <v>20</v>
      </c>
      <c r="E141" s="14" t="s">
        <v>624</v>
      </c>
      <c r="F141" s="13" t="s">
        <v>628</v>
      </c>
      <c r="G141" s="56" t="s">
        <v>23</v>
      </c>
      <c r="H141" s="15"/>
      <c r="I141" s="15"/>
      <c r="J141" s="57">
        <f t="shared" si="6"/>
        <v>0</v>
      </c>
    </row>
    <row r="142" ht="28.8" spans="1:10">
      <c r="A142" s="12"/>
      <c r="B142" s="12"/>
      <c r="C142" s="13" t="s">
        <v>785</v>
      </c>
      <c r="D142" s="55" t="s">
        <v>11</v>
      </c>
      <c r="E142" s="14" t="s">
        <v>630</v>
      </c>
      <c r="F142" s="13" t="s">
        <v>631</v>
      </c>
      <c r="G142" s="56" t="s">
        <v>17</v>
      </c>
      <c r="H142" s="15"/>
      <c r="I142" s="15"/>
      <c r="J142" s="57">
        <f t="shared" si="6"/>
        <v>0</v>
      </c>
    </row>
    <row r="143" ht="28.8" spans="1:10">
      <c r="A143" s="12"/>
      <c r="B143" s="12"/>
      <c r="C143" s="13" t="s">
        <v>787</v>
      </c>
      <c r="D143" s="55" t="s">
        <v>20</v>
      </c>
      <c r="E143" s="14" t="s">
        <v>47</v>
      </c>
      <c r="F143" s="13" t="s">
        <v>48</v>
      </c>
      <c r="G143" s="56" t="s">
        <v>49</v>
      </c>
      <c r="H143" s="15"/>
      <c r="I143" s="15"/>
      <c r="J143" s="57">
        <f t="shared" si="6"/>
        <v>0</v>
      </c>
    </row>
    <row r="144" ht="28.8" spans="1:10">
      <c r="A144" s="12"/>
      <c r="B144" s="12"/>
      <c r="C144" s="13" t="s">
        <v>787</v>
      </c>
      <c r="D144" s="55" t="s">
        <v>20</v>
      </c>
      <c r="E144" s="14" t="s">
        <v>624</v>
      </c>
      <c r="F144" s="13" t="s">
        <v>625</v>
      </c>
      <c r="G144" s="56" t="s">
        <v>23</v>
      </c>
      <c r="H144" s="15"/>
      <c r="I144" s="15"/>
      <c r="J144" s="57">
        <f t="shared" si="6"/>
        <v>0</v>
      </c>
    </row>
    <row r="145" ht="28.8" spans="1:10">
      <c r="A145" s="12"/>
      <c r="B145" s="12"/>
      <c r="C145" s="13" t="s">
        <v>787</v>
      </c>
      <c r="D145" s="55" t="s">
        <v>20</v>
      </c>
      <c r="E145" s="14" t="s">
        <v>624</v>
      </c>
      <c r="F145" s="13" t="s">
        <v>626</v>
      </c>
      <c r="G145" s="56" t="s">
        <v>23</v>
      </c>
      <c r="H145" s="15"/>
      <c r="I145" s="15"/>
      <c r="J145" s="57">
        <f t="shared" si="6"/>
        <v>0</v>
      </c>
    </row>
    <row r="146" ht="28.8" spans="1:10">
      <c r="A146" s="12"/>
      <c r="B146" s="12"/>
      <c r="C146" s="13" t="s">
        <v>787</v>
      </c>
      <c r="D146" s="55" t="s">
        <v>20</v>
      </c>
      <c r="E146" s="14" t="s">
        <v>624</v>
      </c>
      <c r="F146" s="13" t="s">
        <v>627</v>
      </c>
      <c r="G146" s="56" t="s">
        <v>23</v>
      </c>
      <c r="H146" s="15"/>
      <c r="I146" s="15"/>
      <c r="J146" s="57">
        <f t="shared" si="6"/>
        <v>0</v>
      </c>
    </row>
    <row r="147" ht="28.8" spans="1:10">
      <c r="A147" s="12"/>
      <c r="B147" s="12"/>
      <c r="C147" s="13" t="s">
        <v>787</v>
      </c>
      <c r="D147" s="55" t="s">
        <v>20</v>
      </c>
      <c r="E147" s="14" t="s">
        <v>624</v>
      </c>
      <c r="F147" s="13" t="s">
        <v>628</v>
      </c>
      <c r="G147" s="56" t="s">
        <v>23</v>
      </c>
      <c r="H147" s="15"/>
      <c r="I147" s="15"/>
      <c r="J147" s="57">
        <f t="shared" si="6"/>
        <v>0</v>
      </c>
    </row>
    <row r="148" ht="28.8" spans="1:10">
      <c r="A148" s="12"/>
      <c r="B148" s="12"/>
      <c r="C148" s="13" t="s">
        <v>787</v>
      </c>
      <c r="D148" s="55" t="s">
        <v>11</v>
      </c>
      <c r="E148" s="14" t="s">
        <v>630</v>
      </c>
      <c r="F148" s="13" t="s">
        <v>631</v>
      </c>
      <c r="G148" s="56" t="s">
        <v>17</v>
      </c>
      <c r="H148" s="15"/>
      <c r="I148" s="15"/>
      <c r="J148" s="57">
        <f t="shared" si="6"/>
        <v>0</v>
      </c>
    </row>
    <row r="149" ht="28.8" spans="1:10">
      <c r="A149" s="12"/>
      <c r="B149" s="12"/>
      <c r="C149" s="13" t="s">
        <v>789</v>
      </c>
      <c r="D149" s="55" t="s">
        <v>20</v>
      </c>
      <c r="E149" s="14" t="s">
        <v>47</v>
      </c>
      <c r="F149" s="13" t="s">
        <v>48</v>
      </c>
      <c r="G149" s="56" t="s">
        <v>49</v>
      </c>
      <c r="H149" s="15"/>
      <c r="I149" s="15"/>
      <c r="J149" s="57">
        <f t="shared" si="6"/>
        <v>0</v>
      </c>
    </row>
    <row r="150" ht="28.8" spans="1:10">
      <c r="A150" s="12"/>
      <c r="B150" s="12"/>
      <c r="C150" s="13" t="s">
        <v>789</v>
      </c>
      <c r="D150" s="55" t="s">
        <v>20</v>
      </c>
      <c r="E150" s="14" t="s">
        <v>624</v>
      </c>
      <c r="F150" s="13" t="s">
        <v>625</v>
      </c>
      <c r="G150" s="56" t="s">
        <v>23</v>
      </c>
      <c r="H150" s="15"/>
      <c r="I150" s="15"/>
      <c r="J150" s="57">
        <f t="shared" si="6"/>
        <v>0</v>
      </c>
    </row>
    <row r="151" ht="28.8" spans="1:10">
      <c r="A151" s="12"/>
      <c r="B151" s="12"/>
      <c r="C151" s="13" t="s">
        <v>789</v>
      </c>
      <c r="D151" s="55" t="s">
        <v>20</v>
      </c>
      <c r="E151" s="14" t="s">
        <v>624</v>
      </c>
      <c r="F151" s="13" t="s">
        <v>626</v>
      </c>
      <c r="G151" s="56" t="s">
        <v>23</v>
      </c>
      <c r="H151" s="15"/>
      <c r="I151" s="15"/>
      <c r="J151" s="57">
        <f t="shared" si="6"/>
        <v>0</v>
      </c>
    </row>
    <row r="152" ht="28.8" spans="1:10">
      <c r="A152" s="12"/>
      <c r="B152" s="12"/>
      <c r="C152" s="13" t="s">
        <v>789</v>
      </c>
      <c r="D152" s="55" t="s">
        <v>20</v>
      </c>
      <c r="E152" s="14" t="s">
        <v>624</v>
      </c>
      <c r="F152" s="13" t="s">
        <v>627</v>
      </c>
      <c r="G152" s="56" t="s">
        <v>23</v>
      </c>
      <c r="H152" s="15"/>
      <c r="I152" s="15"/>
      <c r="J152" s="57">
        <f t="shared" si="6"/>
        <v>0</v>
      </c>
    </row>
    <row r="153" ht="28.8" spans="1:10">
      <c r="A153" s="12"/>
      <c r="B153" s="12"/>
      <c r="C153" s="13" t="s">
        <v>789</v>
      </c>
      <c r="D153" s="55" t="s">
        <v>20</v>
      </c>
      <c r="E153" s="14" t="s">
        <v>624</v>
      </c>
      <c r="F153" s="13" t="s">
        <v>628</v>
      </c>
      <c r="G153" s="56" t="s">
        <v>23</v>
      </c>
      <c r="H153" s="15"/>
      <c r="I153" s="15"/>
      <c r="J153" s="57">
        <f t="shared" si="6"/>
        <v>0</v>
      </c>
    </row>
    <row r="154" ht="28.8" spans="1:10">
      <c r="A154" s="12"/>
      <c r="B154" s="12"/>
      <c r="C154" s="13" t="s">
        <v>789</v>
      </c>
      <c r="D154" s="55" t="s">
        <v>11</v>
      </c>
      <c r="E154" s="14" t="s">
        <v>630</v>
      </c>
      <c r="F154" s="13" t="s">
        <v>631</v>
      </c>
      <c r="G154" s="56" t="s">
        <v>17</v>
      </c>
      <c r="H154" s="15"/>
      <c r="I154" s="15"/>
      <c r="J154" s="57">
        <f t="shared" si="6"/>
        <v>0</v>
      </c>
    </row>
    <row r="155" ht="28.8" spans="1:10">
      <c r="A155" s="12"/>
      <c r="B155" s="12"/>
      <c r="C155" s="13" t="s">
        <v>791</v>
      </c>
      <c r="D155" s="55" t="s">
        <v>11</v>
      </c>
      <c r="E155" s="14" t="s">
        <v>634</v>
      </c>
      <c r="F155" s="13" t="s">
        <v>635</v>
      </c>
      <c r="G155" s="56" t="s">
        <v>23</v>
      </c>
      <c r="H155" s="15"/>
      <c r="I155" s="15"/>
      <c r="J155" s="57">
        <f t="shared" si="6"/>
        <v>0</v>
      </c>
    </row>
    <row r="156" ht="28.8" spans="1:10">
      <c r="A156" s="12"/>
      <c r="B156" s="12"/>
      <c r="C156" s="13" t="s">
        <v>791</v>
      </c>
      <c r="D156" s="55" t="s">
        <v>20</v>
      </c>
      <c r="E156" s="14" t="s">
        <v>636</v>
      </c>
      <c r="F156" s="13" t="s">
        <v>637</v>
      </c>
      <c r="G156" s="56" t="s">
        <v>23</v>
      </c>
      <c r="H156" s="15"/>
      <c r="I156" s="15"/>
      <c r="J156" s="57">
        <f t="shared" si="6"/>
        <v>0</v>
      </c>
    </row>
    <row r="157" ht="28.8" spans="1:10">
      <c r="A157" s="12"/>
      <c r="B157" s="12"/>
      <c r="C157" s="13" t="s">
        <v>793</v>
      </c>
      <c r="D157" s="55" t="s">
        <v>11</v>
      </c>
      <c r="E157" s="14" t="s">
        <v>634</v>
      </c>
      <c r="F157" s="13" t="s">
        <v>640</v>
      </c>
      <c r="G157" s="56" t="s">
        <v>23</v>
      </c>
      <c r="H157" s="15"/>
      <c r="I157" s="15"/>
      <c r="J157" s="57">
        <f t="shared" si="6"/>
        <v>0</v>
      </c>
    </row>
    <row r="158" ht="28.8" spans="1:10">
      <c r="A158" s="12"/>
      <c r="B158" s="12"/>
      <c r="C158" s="13" t="s">
        <v>793</v>
      </c>
      <c r="D158" s="55" t="s">
        <v>20</v>
      </c>
      <c r="E158" s="14" t="s">
        <v>636</v>
      </c>
      <c r="F158" s="13" t="s">
        <v>641</v>
      </c>
      <c r="G158" s="56" t="s">
        <v>23</v>
      </c>
      <c r="H158" s="15"/>
      <c r="I158" s="15"/>
      <c r="J158" s="57">
        <f t="shared" si="6"/>
        <v>0</v>
      </c>
    </row>
    <row r="159" ht="28.8" spans="1:10">
      <c r="A159" s="12"/>
      <c r="B159" s="12"/>
      <c r="C159" s="13" t="s">
        <v>795</v>
      </c>
      <c r="D159" s="55" t="s">
        <v>11</v>
      </c>
      <c r="E159" s="14" t="s">
        <v>634</v>
      </c>
      <c r="F159" s="13" t="s">
        <v>650</v>
      </c>
      <c r="G159" s="56" t="s">
        <v>23</v>
      </c>
      <c r="H159" s="15"/>
      <c r="I159" s="15"/>
      <c r="J159" s="57">
        <f t="shared" si="6"/>
        <v>0</v>
      </c>
    </row>
    <row r="160" ht="28.8" spans="1:10">
      <c r="A160" s="12"/>
      <c r="B160" s="12"/>
      <c r="C160" s="13" t="s">
        <v>795</v>
      </c>
      <c r="D160" s="55" t="s">
        <v>20</v>
      </c>
      <c r="E160" s="14" t="s">
        <v>636</v>
      </c>
      <c r="F160" s="13" t="s">
        <v>644</v>
      </c>
      <c r="G160" s="56" t="s">
        <v>23</v>
      </c>
      <c r="H160" s="15"/>
      <c r="I160" s="15"/>
      <c r="J160" s="57">
        <f t="shared" si="6"/>
        <v>0</v>
      </c>
    </row>
    <row r="161" ht="28.8" spans="1:10">
      <c r="A161" s="12"/>
      <c r="B161" s="12"/>
      <c r="C161" s="13" t="s">
        <v>797</v>
      </c>
      <c r="D161" s="55" t="s">
        <v>11</v>
      </c>
      <c r="E161" s="14" t="s">
        <v>634</v>
      </c>
      <c r="F161" s="13" t="s">
        <v>635</v>
      </c>
      <c r="G161" s="56" t="s">
        <v>23</v>
      </c>
      <c r="H161" s="15"/>
      <c r="I161" s="15"/>
      <c r="J161" s="57">
        <f t="shared" si="6"/>
        <v>0</v>
      </c>
    </row>
    <row r="162" ht="28.8" spans="1:10">
      <c r="A162" s="12"/>
      <c r="B162" s="12"/>
      <c r="C162" s="13" t="s">
        <v>797</v>
      </c>
      <c r="D162" s="55" t="s">
        <v>11</v>
      </c>
      <c r="E162" s="14" t="s">
        <v>634</v>
      </c>
      <c r="F162" s="13" t="s">
        <v>640</v>
      </c>
      <c r="G162" s="56" t="s">
        <v>23</v>
      </c>
      <c r="H162" s="15"/>
      <c r="I162" s="15"/>
      <c r="J162" s="57">
        <f t="shared" si="6"/>
        <v>0</v>
      </c>
    </row>
    <row r="163" ht="28.8" spans="1:10">
      <c r="A163" s="12"/>
      <c r="B163" s="12"/>
      <c r="C163" s="13" t="s">
        <v>797</v>
      </c>
      <c r="D163" s="55" t="s">
        <v>20</v>
      </c>
      <c r="E163" s="14" t="s">
        <v>636</v>
      </c>
      <c r="F163" s="13" t="s">
        <v>647</v>
      </c>
      <c r="G163" s="56" t="s">
        <v>23</v>
      </c>
      <c r="H163" s="15"/>
      <c r="I163" s="15"/>
      <c r="J163" s="57">
        <f t="shared" si="6"/>
        <v>0</v>
      </c>
    </row>
    <row r="164" ht="28.8" spans="1:10">
      <c r="A164" s="12"/>
      <c r="B164" s="12"/>
      <c r="C164" s="13" t="s">
        <v>799</v>
      </c>
      <c r="D164" s="55" t="s">
        <v>11</v>
      </c>
      <c r="E164" s="14" t="s">
        <v>634</v>
      </c>
      <c r="F164" s="13" t="s">
        <v>640</v>
      </c>
      <c r="G164" s="56" t="s">
        <v>23</v>
      </c>
      <c r="H164" s="15"/>
      <c r="I164" s="15"/>
      <c r="J164" s="57">
        <f t="shared" si="6"/>
        <v>0</v>
      </c>
    </row>
    <row r="165" ht="28.8" spans="1:10">
      <c r="A165" s="12"/>
      <c r="B165" s="12"/>
      <c r="C165" s="13" t="s">
        <v>799</v>
      </c>
      <c r="D165" s="55" t="s">
        <v>11</v>
      </c>
      <c r="E165" s="14" t="s">
        <v>634</v>
      </c>
      <c r="F165" s="13" t="s">
        <v>650</v>
      </c>
      <c r="G165" s="56" t="s">
        <v>23</v>
      </c>
      <c r="H165" s="15"/>
      <c r="I165" s="15"/>
      <c r="J165" s="57">
        <f t="shared" si="6"/>
        <v>0</v>
      </c>
    </row>
    <row r="166" ht="28.8" spans="1:10">
      <c r="A166" s="12"/>
      <c r="B166" s="12"/>
      <c r="C166" s="13" t="s">
        <v>799</v>
      </c>
      <c r="D166" s="55" t="s">
        <v>20</v>
      </c>
      <c r="E166" s="14" t="s">
        <v>636</v>
      </c>
      <c r="F166" s="13" t="s">
        <v>651</v>
      </c>
      <c r="G166" s="56" t="s">
        <v>23</v>
      </c>
      <c r="H166" s="15"/>
      <c r="I166" s="15"/>
      <c r="J166" s="57">
        <f t="shared" si="6"/>
        <v>0</v>
      </c>
    </row>
    <row r="167" ht="28.8" spans="1:10">
      <c r="A167" s="12"/>
      <c r="B167" s="12"/>
      <c r="C167" s="13" t="s">
        <v>801</v>
      </c>
      <c r="D167" s="55" t="s">
        <v>11</v>
      </c>
      <c r="E167" s="14" t="s">
        <v>634</v>
      </c>
      <c r="F167" s="13" t="s">
        <v>635</v>
      </c>
      <c r="G167" s="56" t="s">
        <v>23</v>
      </c>
      <c r="H167" s="15"/>
      <c r="I167" s="15"/>
      <c r="J167" s="57">
        <f t="shared" si="6"/>
        <v>0</v>
      </c>
    </row>
    <row r="168" ht="28.8" spans="1:10">
      <c r="A168" s="12"/>
      <c r="B168" s="12"/>
      <c r="C168" s="13" t="s">
        <v>801</v>
      </c>
      <c r="D168" s="55" t="s">
        <v>11</v>
      </c>
      <c r="E168" s="14" t="s">
        <v>634</v>
      </c>
      <c r="F168" s="13" t="s">
        <v>650</v>
      </c>
      <c r="G168" s="56" t="s">
        <v>23</v>
      </c>
      <c r="H168" s="15"/>
      <c r="I168" s="15"/>
      <c r="J168" s="57">
        <f t="shared" si="6"/>
        <v>0</v>
      </c>
    </row>
    <row r="169" ht="28.8" spans="1:10">
      <c r="A169" s="12"/>
      <c r="B169" s="12"/>
      <c r="C169" s="13" t="s">
        <v>801</v>
      </c>
      <c r="D169" s="55" t="s">
        <v>20</v>
      </c>
      <c r="E169" s="14" t="s">
        <v>636</v>
      </c>
      <c r="F169" s="13" t="s">
        <v>654</v>
      </c>
      <c r="G169" s="56" t="s">
        <v>23</v>
      </c>
      <c r="H169" s="15"/>
      <c r="I169" s="15"/>
      <c r="J169" s="57">
        <f t="shared" si="6"/>
        <v>0</v>
      </c>
    </row>
    <row r="170" spans="1:10">
      <c r="A170" s="12"/>
      <c r="B170" s="12"/>
      <c r="C170" s="13" t="s">
        <v>803</v>
      </c>
      <c r="D170" s="55" t="s">
        <v>11</v>
      </c>
      <c r="E170" s="14" t="s">
        <v>12</v>
      </c>
      <c r="F170" s="13" t="s">
        <v>13</v>
      </c>
      <c r="G170" s="56" t="s">
        <v>14</v>
      </c>
      <c r="H170" s="15"/>
      <c r="I170" s="15"/>
      <c r="J170" s="57">
        <f t="shared" si="6"/>
        <v>0</v>
      </c>
    </row>
    <row r="171" spans="1:10">
      <c r="A171" s="12"/>
      <c r="B171" s="12"/>
      <c r="C171" s="13" t="s">
        <v>803</v>
      </c>
      <c r="D171" s="55" t="s">
        <v>11</v>
      </c>
      <c r="E171" s="14" t="s">
        <v>12</v>
      </c>
      <c r="F171" s="13" t="s">
        <v>15</v>
      </c>
      <c r="G171" s="56" t="s">
        <v>14</v>
      </c>
      <c r="H171" s="15"/>
      <c r="I171" s="15"/>
      <c r="J171" s="57">
        <f t="shared" si="6"/>
        <v>0</v>
      </c>
    </row>
    <row r="172" spans="1:10">
      <c r="A172" s="12"/>
      <c r="B172" s="12"/>
      <c r="C172" s="13" t="s">
        <v>803</v>
      </c>
      <c r="D172" s="55" t="s">
        <v>11</v>
      </c>
      <c r="E172" s="14" t="s">
        <v>12</v>
      </c>
      <c r="F172" s="13" t="s">
        <v>28</v>
      </c>
      <c r="G172" s="56" t="s">
        <v>14</v>
      </c>
      <c r="H172" s="15"/>
      <c r="I172" s="15"/>
      <c r="J172" s="57">
        <f t="shared" si="6"/>
        <v>0</v>
      </c>
    </row>
    <row r="173" spans="1:10">
      <c r="A173" s="12"/>
      <c r="B173" s="12"/>
      <c r="C173" s="13" t="s">
        <v>803</v>
      </c>
      <c r="D173" s="55" t="s">
        <v>20</v>
      </c>
      <c r="E173" s="14" t="s">
        <v>106</v>
      </c>
      <c r="F173" s="13" t="s">
        <v>107</v>
      </c>
      <c r="G173" s="56" t="s">
        <v>108</v>
      </c>
      <c r="H173" s="15"/>
      <c r="I173" s="15"/>
      <c r="J173" s="57">
        <f t="shared" si="6"/>
        <v>0</v>
      </c>
    </row>
    <row r="174" spans="1:10">
      <c r="A174" s="8"/>
      <c r="B174" s="8"/>
      <c r="C174" s="9"/>
      <c r="D174" s="58"/>
      <c r="E174" s="10"/>
      <c r="F174" s="9"/>
      <c r="G174" s="59"/>
      <c r="H174" s="11"/>
      <c r="I174" s="11"/>
      <c r="J174" s="60"/>
    </row>
    <row r="175" spans="1:10">
      <c r="A175" s="12"/>
      <c r="B175" s="12"/>
      <c r="C175" s="13" t="s">
        <v>837</v>
      </c>
      <c r="D175" s="55" t="s">
        <v>11</v>
      </c>
      <c r="E175" s="14" t="s">
        <v>665</v>
      </c>
      <c r="F175" s="13" t="s">
        <v>666</v>
      </c>
      <c r="G175" s="56" t="s">
        <v>34</v>
      </c>
      <c r="H175" s="15"/>
      <c r="I175" s="15"/>
      <c r="J175" s="57">
        <f t="shared" ref="J175:J197" si="7">+ROUND(PRODUCT(H175*I175),0)</f>
        <v>0</v>
      </c>
    </row>
    <row r="176" spans="1:10">
      <c r="A176" s="12"/>
      <c r="B176" s="12"/>
      <c r="C176" s="13" t="s">
        <v>837</v>
      </c>
      <c r="D176" s="55" t="s">
        <v>11</v>
      </c>
      <c r="E176" s="14" t="s">
        <v>12</v>
      </c>
      <c r="F176" s="13" t="s">
        <v>13</v>
      </c>
      <c r="G176" s="56" t="s">
        <v>14</v>
      </c>
      <c r="H176" s="15"/>
      <c r="I176" s="15"/>
      <c r="J176" s="57">
        <f t="shared" si="7"/>
        <v>0</v>
      </c>
    </row>
    <row r="177" spans="1:10">
      <c r="A177" s="12"/>
      <c r="B177" s="12"/>
      <c r="C177" s="13" t="s">
        <v>837</v>
      </c>
      <c r="D177" s="55" t="s">
        <v>11</v>
      </c>
      <c r="E177" s="14" t="s">
        <v>12</v>
      </c>
      <c r="F177" s="13" t="s">
        <v>15</v>
      </c>
      <c r="G177" s="56" t="s">
        <v>14</v>
      </c>
      <c r="H177" s="15"/>
      <c r="I177" s="15"/>
      <c r="J177" s="57">
        <f t="shared" si="7"/>
        <v>0</v>
      </c>
    </row>
    <row r="178" spans="1:10">
      <c r="A178" s="12"/>
      <c r="B178" s="12"/>
      <c r="C178" s="13" t="s">
        <v>837</v>
      </c>
      <c r="D178" s="55" t="s">
        <v>11</v>
      </c>
      <c r="E178" s="14" t="s">
        <v>12</v>
      </c>
      <c r="F178" s="13" t="s">
        <v>28</v>
      </c>
      <c r="G178" s="56" t="s">
        <v>14</v>
      </c>
      <c r="H178" s="15"/>
      <c r="I178" s="15"/>
      <c r="J178" s="57">
        <f t="shared" si="7"/>
        <v>0</v>
      </c>
    </row>
    <row r="179" ht="28.8" spans="1:10">
      <c r="A179" s="12"/>
      <c r="B179" s="12"/>
      <c r="C179" s="13" t="s">
        <v>837</v>
      </c>
      <c r="D179" s="55" t="s">
        <v>20</v>
      </c>
      <c r="E179" s="14" t="s">
        <v>59</v>
      </c>
      <c r="F179" s="13" t="s">
        <v>667</v>
      </c>
      <c r="G179" s="56" t="s">
        <v>49</v>
      </c>
      <c r="H179" s="15"/>
      <c r="I179" s="15"/>
      <c r="J179" s="57">
        <f t="shared" si="7"/>
        <v>0</v>
      </c>
    </row>
    <row r="180" spans="1:10">
      <c r="A180" s="12"/>
      <c r="B180" s="12"/>
      <c r="C180" s="13" t="s">
        <v>837</v>
      </c>
      <c r="D180" s="55" t="s">
        <v>20</v>
      </c>
      <c r="E180" s="14" t="s">
        <v>59</v>
      </c>
      <c r="F180" s="13" t="s">
        <v>668</v>
      </c>
      <c r="G180" s="56" t="s">
        <v>49</v>
      </c>
      <c r="H180" s="15"/>
      <c r="I180" s="15"/>
      <c r="J180" s="57">
        <f t="shared" si="7"/>
        <v>0</v>
      </c>
    </row>
    <row r="181" spans="1:10">
      <c r="A181" s="12"/>
      <c r="B181" s="12"/>
      <c r="C181" s="13" t="s">
        <v>837</v>
      </c>
      <c r="D181" s="55" t="s">
        <v>20</v>
      </c>
      <c r="E181" s="14" t="s">
        <v>59</v>
      </c>
      <c r="F181" s="13" t="s">
        <v>60</v>
      </c>
      <c r="G181" s="56" t="s">
        <v>49</v>
      </c>
      <c r="H181" s="15"/>
      <c r="I181" s="15"/>
      <c r="J181" s="57">
        <f t="shared" si="7"/>
        <v>0</v>
      </c>
    </row>
    <row r="182" spans="1:10">
      <c r="A182" s="12"/>
      <c r="B182" s="12"/>
      <c r="C182" s="13" t="s">
        <v>837</v>
      </c>
      <c r="D182" s="55" t="s">
        <v>20</v>
      </c>
      <c r="E182" s="14" t="s">
        <v>106</v>
      </c>
      <c r="F182" s="13" t="s">
        <v>838</v>
      </c>
      <c r="G182" s="56" t="s">
        <v>108</v>
      </c>
      <c r="H182" s="15"/>
      <c r="I182" s="15"/>
      <c r="J182" s="57">
        <f t="shared" si="7"/>
        <v>0</v>
      </c>
    </row>
    <row r="183" spans="1:10">
      <c r="A183" s="12"/>
      <c r="B183" s="12"/>
      <c r="C183" s="13" t="s">
        <v>872</v>
      </c>
      <c r="D183" s="55" t="s">
        <v>11</v>
      </c>
      <c r="E183" s="14" t="s">
        <v>12</v>
      </c>
      <c r="F183" s="13" t="s">
        <v>13</v>
      </c>
      <c r="G183" s="56" t="s">
        <v>14</v>
      </c>
      <c r="H183" s="15"/>
      <c r="I183" s="15"/>
      <c r="J183" s="57">
        <f t="shared" si="7"/>
        <v>0</v>
      </c>
    </row>
    <row r="184" spans="1:10">
      <c r="A184" s="12"/>
      <c r="B184" s="12"/>
      <c r="C184" s="13" t="s">
        <v>872</v>
      </c>
      <c r="D184" s="55" t="s">
        <v>11</v>
      </c>
      <c r="E184" s="14" t="s">
        <v>12</v>
      </c>
      <c r="F184" s="13" t="s">
        <v>15</v>
      </c>
      <c r="G184" s="56" t="s">
        <v>14</v>
      </c>
      <c r="H184" s="15"/>
      <c r="I184" s="15"/>
      <c r="J184" s="57">
        <f t="shared" si="7"/>
        <v>0</v>
      </c>
    </row>
    <row r="185" spans="1:10">
      <c r="A185" s="12"/>
      <c r="B185" s="12"/>
      <c r="C185" s="13" t="s">
        <v>872</v>
      </c>
      <c r="D185" s="55" t="s">
        <v>11</v>
      </c>
      <c r="E185" s="14" t="s">
        <v>12</v>
      </c>
      <c r="F185" s="13" t="s">
        <v>28</v>
      </c>
      <c r="G185" s="56" t="s">
        <v>14</v>
      </c>
      <c r="H185" s="15"/>
      <c r="I185" s="15"/>
      <c r="J185" s="57">
        <f t="shared" si="7"/>
        <v>0</v>
      </c>
    </row>
    <row r="186" ht="28.8" spans="1:10">
      <c r="A186" s="12"/>
      <c r="B186" s="12"/>
      <c r="C186" s="13" t="s">
        <v>872</v>
      </c>
      <c r="D186" s="55" t="s">
        <v>20</v>
      </c>
      <c r="E186" s="14" t="s">
        <v>59</v>
      </c>
      <c r="F186" s="13" t="s">
        <v>667</v>
      </c>
      <c r="G186" s="56" t="s">
        <v>49</v>
      </c>
      <c r="H186" s="15"/>
      <c r="I186" s="15"/>
      <c r="J186" s="57">
        <f t="shared" si="7"/>
        <v>0</v>
      </c>
    </row>
    <row r="187" spans="1:10">
      <c r="A187" s="12"/>
      <c r="B187" s="12"/>
      <c r="C187" s="13" t="s">
        <v>872</v>
      </c>
      <c r="D187" s="55" t="s">
        <v>20</v>
      </c>
      <c r="E187" s="14" t="s">
        <v>59</v>
      </c>
      <c r="F187" s="13" t="s">
        <v>668</v>
      </c>
      <c r="G187" s="56" t="s">
        <v>49</v>
      </c>
      <c r="H187" s="15"/>
      <c r="I187" s="15"/>
      <c r="J187" s="57">
        <f t="shared" si="7"/>
        <v>0</v>
      </c>
    </row>
    <row r="188" spans="1:10">
      <c r="A188" s="12"/>
      <c r="B188" s="12"/>
      <c r="C188" s="13" t="s">
        <v>872</v>
      </c>
      <c r="D188" s="55" t="s">
        <v>20</v>
      </c>
      <c r="E188" s="14" t="s">
        <v>59</v>
      </c>
      <c r="F188" s="13" t="s">
        <v>60</v>
      </c>
      <c r="G188" s="56" t="s">
        <v>49</v>
      </c>
      <c r="H188" s="15"/>
      <c r="I188" s="15"/>
      <c r="J188" s="57">
        <f t="shared" si="7"/>
        <v>0</v>
      </c>
    </row>
    <row r="189" spans="1:10">
      <c r="A189" s="12"/>
      <c r="B189" s="12"/>
      <c r="C189" s="13" t="s">
        <v>872</v>
      </c>
      <c r="D189" s="55" t="s">
        <v>20</v>
      </c>
      <c r="E189" s="14" t="s">
        <v>106</v>
      </c>
      <c r="F189" s="13" t="s">
        <v>873</v>
      </c>
      <c r="G189" s="56" t="s">
        <v>108</v>
      </c>
      <c r="H189" s="15"/>
      <c r="I189" s="15"/>
      <c r="J189" s="57">
        <f t="shared" si="7"/>
        <v>0</v>
      </c>
    </row>
    <row r="190" ht="28.8" spans="1:10">
      <c r="A190" s="12"/>
      <c r="B190" s="12"/>
      <c r="C190" s="13" t="s">
        <v>915</v>
      </c>
      <c r="D190" s="55" t="s">
        <v>11</v>
      </c>
      <c r="E190" s="14" t="s">
        <v>618</v>
      </c>
      <c r="F190" s="13" t="s">
        <v>619</v>
      </c>
      <c r="G190" s="56" t="s">
        <v>23</v>
      </c>
      <c r="H190" s="15"/>
      <c r="I190" s="15"/>
      <c r="J190" s="57">
        <f t="shared" si="7"/>
        <v>0</v>
      </c>
    </row>
    <row r="191" ht="28.8" spans="1:10">
      <c r="A191" s="12"/>
      <c r="B191" s="12"/>
      <c r="C191" s="13" t="s">
        <v>915</v>
      </c>
      <c r="D191" s="55" t="s">
        <v>11</v>
      </c>
      <c r="E191" s="14" t="s">
        <v>618</v>
      </c>
      <c r="F191" s="13" t="s">
        <v>620</v>
      </c>
      <c r="G191" s="56" t="s">
        <v>23</v>
      </c>
      <c r="H191" s="15"/>
      <c r="I191" s="15"/>
      <c r="J191" s="57">
        <f t="shared" si="7"/>
        <v>0</v>
      </c>
    </row>
    <row r="192" ht="28.8" spans="1:10">
      <c r="A192" s="12"/>
      <c r="B192" s="12"/>
      <c r="C192" s="13" t="s">
        <v>915</v>
      </c>
      <c r="D192" s="55" t="s">
        <v>11</v>
      </c>
      <c r="E192" s="14" t="s">
        <v>618</v>
      </c>
      <c r="F192" s="13" t="s">
        <v>621</v>
      </c>
      <c r="G192" s="56" t="s">
        <v>23</v>
      </c>
      <c r="H192" s="15"/>
      <c r="I192" s="15"/>
      <c r="J192" s="57">
        <f t="shared" si="7"/>
        <v>0</v>
      </c>
    </row>
    <row r="193" ht="28.8" spans="1:10">
      <c r="A193" s="12"/>
      <c r="B193" s="12"/>
      <c r="C193" s="13" t="s">
        <v>917</v>
      </c>
      <c r="D193" s="55" t="s">
        <v>11</v>
      </c>
      <c r="E193" s="14" t="s">
        <v>12</v>
      </c>
      <c r="F193" s="13" t="s">
        <v>13</v>
      </c>
      <c r="G193" s="56" t="s">
        <v>14</v>
      </c>
      <c r="H193" s="15"/>
      <c r="I193" s="15"/>
      <c r="J193" s="57">
        <f t="shared" si="7"/>
        <v>0</v>
      </c>
    </row>
    <row r="194" ht="28.8" spans="1:10">
      <c r="A194" s="12"/>
      <c r="B194" s="12"/>
      <c r="C194" s="13" t="s">
        <v>917</v>
      </c>
      <c r="D194" s="55" t="s">
        <v>20</v>
      </c>
      <c r="E194" s="14" t="s">
        <v>576</v>
      </c>
      <c r="F194" s="13" t="s">
        <v>918</v>
      </c>
      <c r="G194" s="56" t="s">
        <v>100</v>
      </c>
      <c r="H194" s="15"/>
      <c r="I194" s="15"/>
      <c r="J194" s="57">
        <f t="shared" si="7"/>
        <v>0</v>
      </c>
    </row>
    <row r="195" ht="28.8" spans="1:10">
      <c r="A195" s="12"/>
      <c r="B195" s="12"/>
      <c r="C195" s="13" t="s">
        <v>917</v>
      </c>
      <c r="D195" s="55" t="s">
        <v>20</v>
      </c>
      <c r="E195" s="14" t="s">
        <v>104</v>
      </c>
      <c r="F195" s="13" t="s">
        <v>919</v>
      </c>
      <c r="G195" s="56" t="s">
        <v>49</v>
      </c>
      <c r="H195" s="15"/>
      <c r="I195" s="15"/>
      <c r="J195" s="57">
        <f t="shared" si="7"/>
        <v>0</v>
      </c>
    </row>
    <row r="196" ht="28.8" spans="1:10">
      <c r="A196" s="12"/>
      <c r="B196" s="12"/>
      <c r="C196" s="13" t="s">
        <v>917</v>
      </c>
      <c r="D196" s="55" t="s">
        <v>20</v>
      </c>
      <c r="E196" s="14" t="s">
        <v>112</v>
      </c>
      <c r="F196" s="13" t="s">
        <v>113</v>
      </c>
      <c r="G196" s="56" t="s">
        <v>46</v>
      </c>
      <c r="H196" s="15"/>
      <c r="I196" s="15"/>
      <c r="J196" s="57">
        <f t="shared" si="7"/>
        <v>0</v>
      </c>
    </row>
    <row r="197" spans="1:10">
      <c r="A197" s="12"/>
      <c r="B197" s="12"/>
      <c r="C197" s="13" t="s">
        <v>1094</v>
      </c>
      <c r="D197" s="55" t="s">
        <v>20</v>
      </c>
      <c r="E197" s="14" t="s">
        <v>114</v>
      </c>
      <c r="F197" s="13" t="s">
        <v>579</v>
      </c>
      <c r="G197" s="56" t="s">
        <v>23</v>
      </c>
      <c r="H197" s="15"/>
      <c r="I197" s="15"/>
      <c r="J197" s="57">
        <f t="shared" si="7"/>
        <v>0</v>
      </c>
    </row>
  </sheetData>
  <mergeCells count="10">
    <mergeCell ref="A1:J1"/>
    <mergeCell ref="A2:J2"/>
    <mergeCell ref="A4:A58"/>
    <mergeCell ref="B5:B14"/>
    <mergeCell ref="B15:B18"/>
    <mergeCell ref="B19:B24"/>
    <mergeCell ref="B25:B37"/>
    <mergeCell ref="B38:B41"/>
    <mergeCell ref="B42:B54"/>
    <mergeCell ref="B55:B58"/>
  </mergeCells>
  <pageMargins left="0.7" right="0.7" top="0.75" bottom="0.75" header="0.3" footer="0.3"/>
  <pageSetup paperSize="1" scale="42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1"/>
  <sheetViews>
    <sheetView zoomScale="70" zoomScaleNormal="70" topLeftCell="A59" workbookViewId="0">
      <selection activeCell="C123" sqref="C123"/>
    </sheetView>
  </sheetViews>
  <sheetFormatPr defaultColWidth="26.8888888888889" defaultRowHeight="14.4"/>
  <cols>
    <col min="1" max="1" width="8.88888888888889" customWidth="1"/>
    <col min="2" max="2" width="25.2314814814815" customWidth="1"/>
    <col min="3" max="3" width="22.7777777777778" style="1" customWidth="1"/>
    <col min="4" max="4" width="14.75" style="2" customWidth="1"/>
    <col min="5" max="5" width="29.0462962962963" style="2" customWidth="1"/>
    <col min="6" max="6" width="47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1102</v>
      </c>
      <c r="B1" s="3"/>
      <c r="C1" s="4"/>
      <c r="D1" s="3"/>
      <c r="E1" s="3"/>
      <c r="F1" s="5"/>
      <c r="G1" s="3"/>
      <c r="H1" s="3"/>
      <c r="I1" s="3"/>
      <c r="J1" s="3"/>
    </row>
    <row r="2" ht="18" spans="1:10">
      <c r="A2" s="3" t="s">
        <v>1114</v>
      </c>
      <c r="B2" s="3"/>
      <c r="C2" s="4"/>
      <c r="D2" s="3"/>
      <c r="E2" s="3"/>
      <c r="F2" s="5"/>
      <c r="G2" s="3"/>
      <c r="H2" s="3"/>
      <c r="I2" s="3"/>
      <c r="J2" s="3"/>
    </row>
    <row r="3" ht="18" spans="1:10">
      <c r="A3" s="3" t="s">
        <v>1134</v>
      </c>
      <c r="B3" s="3"/>
      <c r="C3" s="4"/>
      <c r="D3" s="3"/>
      <c r="E3" s="3"/>
      <c r="F3" s="5"/>
      <c r="G3" s="3"/>
      <c r="H3" s="3"/>
      <c r="I3" s="3"/>
      <c r="J3" s="3"/>
    </row>
    <row r="4" ht="28" customHeight="1" spans="1:10">
      <c r="A4" s="6" t="s">
        <v>1104</v>
      </c>
      <c r="B4" s="6" t="s">
        <v>1105</v>
      </c>
      <c r="C4" s="7" t="s">
        <v>1</v>
      </c>
      <c r="D4" s="6" t="s">
        <v>2</v>
      </c>
      <c r="E4" s="6" t="s">
        <v>3</v>
      </c>
      <c r="F4" s="7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ht="28.8" spans="1:10">
      <c r="A5" s="18">
        <v>9</v>
      </c>
      <c r="B5" s="18"/>
      <c r="C5" s="13" t="s">
        <v>536</v>
      </c>
      <c r="D5" s="14" t="s">
        <v>11</v>
      </c>
      <c r="E5" s="14" t="s">
        <v>536</v>
      </c>
      <c r="F5" s="13" t="s">
        <v>537</v>
      </c>
      <c r="G5" s="12" t="s">
        <v>23</v>
      </c>
      <c r="H5" s="15"/>
      <c r="I5" s="15"/>
      <c r="J5" s="15">
        <f t="shared" ref="J5:J9" si="0">+ROUND(PRODUCT(H5*I5),0)</f>
        <v>0</v>
      </c>
    </row>
    <row r="6" ht="28.8" spans="1:10">
      <c r="A6" s="19">
        <f t="shared" ref="A6:A9" si="1">1+A5</f>
        <v>10</v>
      </c>
      <c r="B6" s="19"/>
      <c r="C6" s="13" t="s">
        <v>536</v>
      </c>
      <c r="D6" s="14" t="s">
        <v>11</v>
      </c>
      <c r="E6" s="14" t="s">
        <v>536</v>
      </c>
      <c r="F6" s="13" t="s">
        <v>538</v>
      </c>
      <c r="G6" s="12" t="s">
        <v>23</v>
      </c>
      <c r="H6" s="15"/>
      <c r="I6" s="15"/>
      <c r="J6" s="15">
        <f t="shared" si="0"/>
        <v>0</v>
      </c>
    </row>
    <row r="7" ht="28.8" spans="1:10">
      <c r="A7" s="19">
        <f t="shared" si="1"/>
        <v>11</v>
      </c>
      <c r="B7" s="19"/>
      <c r="C7" s="13" t="s">
        <v>536</v>
      </c>
      <c r="D7" s="14" t="s">
        <v>11</v>
      </c>
      <c r="E7" s="14" t="s">
        <v>536</v>
      </c>
      <c r="F7" s="13" t="s">
        <v>539</v>
      </c>
      <c r="G7" s="12" t="s">
        <v>23</v>
      </c>
      <c r="H7" s="15"/>
      <c r="I7" s="15"/>
      <c r="J7" s="15">
        <f t="shared" si="0"/>
        <v>0</v>
      </c>
    </row>
    <row r="8" ht="28.8" spans="1:10">
      <c r="A8" s="19">
        <f t="shared" si="1"/>
        <v>12</v>
      </c>
      <c r="B8" s="19"/>
      <c r="C8" s="13" t="s">
        <v>536</v>
      </c>
      <c r="D8" s="14" t="s">
        <v>11</v>
      </c>
      <c r="E8" s="14" t="s">
        <v>536</v>
      </c>
      <c r="F8" s="13" t="s">
        <v>540</v>
      </c>
      <c r="G8" s="12" t="s">
        <v>23</v>
      </c>
      <c r="H8" s="15"/>
      <c r="I8" s="15"/>
      <c r="J8" s="15">
        <f t="shared" si="0"/>
        <v>0</v>
      </c>
    </row>
    <row r="9" ht="28.8" spans="1:10">
      <c r="A9" s="19">
        <f t="shared" si="1"/>
        <v>13</v>
      </c>
      <c r="B9" s="19"/>
      <c r="C9" s="13" t="s">
        <v>536</v>
      </c>
      <c r="D9" s="14" t="s">
        <v>11</v>
      </c>
      <c r="E9" s="14" t="s">
        <v>536</v>
      </c>
      <c r="F9" s="13" t="s">
        <v>541</v>
      </c>
      <c r="G9" s="12" t="s">
        <v>23</v>
      </c>
      <c r="H9" s="15"/>
      <c r="I9" s="15"/>
      <c r="J9" s="15">
        <f t="shared" si="0"/>
        <v>0</v>
      </c>
    </row>
    <row r="10" spans="1:10">
      <c r="A10" s="19"/>
      <c r="B10" s="19"/>
      <c r="C10" s="13"/>
      <c r="D10" s="14"/>
      <c r="E10" s="14"/>
      <c r="F10" s="13" t="s">
        <v>1120</v>
      </c>
      <c r="G10" s="12"/>
      <c r="H10" s="15"/>
      <c r="I10" s="15"/>
      <c r="J10" s="15"/>
    </row>
    <row r="11" ht="28.8" spans="1:10">
      <c r="A11" s="19">
        <f>1+A9</f>
        <v>14</v>
      </c>
      <c r="B11" s="19"/>
      <c r="C11" s="13" t="s">
        <v>536</v>
      </c>
      <c r="D11" s="14" t="s">
        <v>11</v>
      </c>
      <c r="E11" s="14" t="s">
        <v>536</v>
      </c>
      <c r="F11" s="13" t="s">
        <v>542</v>
      </c>
      <c r="G11" s="12" t="s">
        <v>23</v>
      </c>
      <c r="H11" s="15"/>
      <c r="I11" s="15"/>
      <c r="J11" s="15">
        <f t="shared" ref="J11:J75" si="2">+ROUND(PRODUCT(H11*I11),0)</f>
        <v>0</v>
      </c>
    </row>
    <row r="12" ht="28.8" spans="1:10">
      <c r="A12" s="19">
        <f t="shared" ref="A12:A51" si="3">1+A11</f>
        <v>15</v>
      </c>
      <c r="B12" s="19"/>
      <c r="C12" s="13" t="s">
        <v>536</v>
      </c>
      <c r="D12" s="14" t="s">
        <v>11</v>
      </c>
      <c r="E12" s="14" t="s">
        <v>536</v>
      </c>
      <c r="F12" s="13" t="s">
        <v>543</v>
      </c>
      <c r="G12" s="12" t="s">
        <v>23</v>
      </c>
      <c r="H12" s="15"/>
      <c r="I12" s="15"/>
      <c r="J12" s="15">
        <f t="shared" si="2"/>
        <v>0</v>
      </c>
    </row>
    <row r="13" spans="1:10">
      <c r="A13" s="19"/>
      <c r="B13" s="19"/>
      <c r="C13" s="13"/>
      <c r="D13" s="14"/>
      <c r="E13" s="14"/>
      <c r="F13" s="13" t="s">
        <v>1121</v>
      </c>
      <c r="G13" s="12"/>
      <c r="H13" s="15"/>
      <c r="I13" s="15"/>
      <c r="J13" s="15"/>
    </row>
    <row r="14" ht="28.8" spans="1:10">
      <c r="A14" s="19">
        <f>1+A12</f>
        <v>16</v>
      </c>
      <c r="B14" s="19"/>
      <c r="C14" s="13" t="s">
        <v>536</v>
      </c>
      <c r="D14" s="14" t="s">
        <v>11</v>
      </c>
      <c r="E14" s="14" t="s">
        <v>536</v>
      </c>
      <c r="F14" s="13" t="s">
        <v>544</v>
      </c>
      <c r="G14" s="12" t="s">
        <v>23</v>
      </c>
      <c r="H14" s="15"/>
      <c r="I14" s="15"/>
      <c r="J14" s="15">
        <f t="shared" si="2"/>
        <v>0</v>
      </c>
    </row>
    <row r="15" ht="28.8" spans="1:10">
      <c r="A15" s="19">
        <f t="shared" si="3"/>
        <v>17</v>
      </c>
      <c r="B15" s="19"/>
      <c r="C15" s="13" t="s">
        <v>536</v>
      </c>
      <c r="D15" s="14" t="s">
        <v>11</v>
      </c>
      <c r="E15" s="14" t="s">
        <v>536</v>
      </c>
      <c r="F15" s="13" t="s">
        <v>545</v>
      </c>
      <c r="G15" s="12" t="s">
        <v>23</v>
      </c>
      <c r="H15" s="15"/>
      <c r="I15" s="15"/>
      <c r="J15" s="15">
        <f t="shared" si="2"/>
        <v>0</v>
      </c>
    </row>
    <row r="16" ht="28.8" spans="1:10">
      <c r="A16" s="19">
        <f t="shared" si="3"/>
        <v>18</v>
      </c>
      <c r="B16" s="19"/>
      <c r="C16" s="13" t="s">
        <v>536</v>
      </c>
      <c r="D16" s="14" t="s">
        <v>11</v>
      </c>
      <c r="E16" s="14" t="s">
        <v>536</v>
      </c>
      <c r="F16" s="13" t="s">
        <v>546</v>
      </c>
      <c r="G16" s="12" t="s">
        <v>23</v>
      </c>
      <c r="H16" s="15"/>
      <c r="I16" s="15"/>
      <c r="J16" s="15">
        <f t="shared" si="2"/>
        <v>0</v>
      </c>
    </row>
    <row r="17" ht="28.8" spans="1:10">
      <c r="A17" s="19">
        <f t="shared" si="3"/>
        <v>19</v>
      </c>
      <c r="B17" s="19"/>
      <c r="C17" s="13" t="s">
        <v>536</v>
      </c>
      <c r="D17" s="14" t="s">
        <v>11</v>
      </c>
      <c r="E17" s="14" t="s">
        <v>536</v>
      </c>
      <c r="F17" s="13" t="s">
        <v>547</v>
      </c>
      <c r="G17" s="12" t="s">
        <v>49</v>
      </c>
      <c r="H17" s="15"/>
      <c r="I17" s="15"/>
      <c r="J17" s="15">
        <f t="shared" si="2"/>
        <v>0</v>
      </c>
    </row>
    <row r="18" ht="28.8" spans="1:10">
      <c r="A18" s="19">
        <f t="shared" si="3"/>
        <v>20</v>
      </c>
      <c r="B18" s="19"/>
      <c r="C18" s="13" t="s">
        <v>536</v>
      </c>
      <c r="D18" s="14" t="s">
        <v>11</v>
      </c>
      <c r="E18" s="14" t="s">
        <v>536</v>
      </c>
      <c r="F18" s="13" t="s">
        <v>548</v>
      </c>
      <c r="G18" s="12" t="s">
        <v>23</v>
      </c>
      <c r="H18" s="15"/>
      <c r="I18" s="15"/>
      <c r="J18" s="15">
        <f t="shared" si="2"/>
        <v>0</v>
      </c>
    </row>
    <row r="19" ht="28.8" spans="1:10">
      <c r="A19" s="19">
        <f t="shared" si="3"/>
        <v>21</v>
      </c>
      <c r="B19" s="19"/>
      <c r="C19" s="13" t="s">
        <v>536</v>
      </c>
      <c r="D19" s="14" t="s">
        <v>11</v>
      </c>
      <c r="E19" s="14" t="s">
        <v>536</v>
      </c>
      <c r="F19" s="13" t="s">
        <v>549</v>
      </c>
      <c r="G19" s="12" t="s">
        <v>23</v>
      </c>
      <c r="H19" s="15"/>
      <c r="I19" s="15"/>
      <c r="J19" s="15">
        <f t="shared" si="2"/>
        <v>0</v>
      </c>
    </row>
    <row r="20" ht="28.8" spans="1:10">
      <c r="A20" s="19">
        <f t="shared" si="3"/>
        <v>22</v>
      </c>
      <c r="B20" s="19"/>
      <c r="C20" s="13" t="s">
        <v>536</v>
      </c>
      <c r="D20" s="14" t="s">
        <v>11</v>
      </c>
      <c r="E20" s="14" t="s">
        <v>536</v>
      </c>
      <c r="F20" s="13" t="s">
        <v>550</v>
      </c>
      <c r="G20" s="12" t="s">
        <v>23</v>
      </c>
      <c r="H20" s="15"/>
      <c r="I20" s="15"/>
      <c r="J20" s="15">
        <f t="shared" si="2"/>
        <v>0</v>
      </c>
    </row>
    <row r="21" ht="28.8" spans="1:10">
      <c r="A21" s="19">
        <f t="shared" si="3"/>
        <v>23</v>
      </c>
      <c r="B21" s="19"/>
      <c r="C21" s="13" t="s">
        <v>536</v>
      </c>
      <c r="D21" s="14" t="s">
        <v>11</v>
      </c>
      <c r="E21" s="14" t="s">
        <v>536</v>
      </c>
      <c r="F21" s="13" t="s">
        <v>551</v>
      </c>
      <c r="G21" s="12" t="s">
        <v>49</v>
      </c>
      <c r="H21" s="20"/>
      <c r="I21" s="15"/>
      <c r="J21" s="15">
        <f t="shared" si="2"/>
        <v>0</v>
      </c>
    </row>
    <row r="22" ht="28.8" spans="1:10">
      <c r="A22" s="19">
        <f t="shared" si="3"/>
        <v>24</v>
      </c>
      <c r="B22" s="19"/>
      <c r="C22" s="13" t="s">
        <v>536</v>
      </c>
      <c r="D22" s="14" t="s">
        <v>11</v>
      </c>
      <c r="E22" s="14" t="s">
        <v>536</v>
      </c>
      <c r="F22" s="13" t="s">
        <v>552</v>
      </c>
      <c r="G22" s="12" t="s">
        <v>23</v>
      </c>
      <c r="H22" s="15"/>
      <c r="I22" s="15"/>
      <c r="J22" s="15">
        <f t="shared" si="2"/>
        <v>0</v>
      </c>
    </row>
    <row r="23" ht="28.8" spans="1:10">
      <c r="A23" s="19">
        <f t="shared" si="3"/>
        <v>25</v>
      </c>
      <c r="B23" s="19"/>
      <c r="C23" s="13" t="s">
        <v>536</v>
      </c>
      <c r="D23" s="14" t="s">
        <v>11</v>
      </c>
      <c r="E23" s="14" t="s">
        <v>536</v>
      </c>
      <c r="F23" s="13" t="s">
        <v>553</v>
      </c>
      <c r="G23" s="12" t="s">
        <v>23</v>
      </c>
      <c r="H23" s="15"/>
      <c r="I23" s="15"/>
      <c r="J23" s="15">
        <f t="shared" si="2"/>
        <v>0</v>
      </c>
    </row>
    <row r="24" ht="28.8" spans="1:10">
      <c r="A24" s="19">
        <f t="shared" si="3"/>
        <v>26</v>
      </c>
      <c r="B24" s="19"/>
      <c r="C24" s="13" t="s">
        <v>536</v>
      </c>
      <c r="D24" s="14" t="s">
        <v>11</v>
      </c>
      <c r="E24" s="14" t="s">
        <v>536</v>
      </c>
      <c r="F24" s="13" t="s">
        <v>554</v>
      </c>
      <c r="G24" s="12" t="s">
        <v>42</v>
      </c>
      <c r="H24" s="15"/>
      <c r="I24" s="15"/>
      <c r="J24" s="15">
        <f t="shared" si="2"/>
        <v>0</v>
      </c>
    </row>
    <row r="25" ht="28.8" spans="1:10">
      <c r="A25" s="19">
        <f t="shared" si="3"/>
        <v>27</v>
      </c>
      <c r="B25" s="19"/>
      <c r="C25" s="13" t="s">
        <v>536</v>
      </c>
      <c r="D25" s="14" t="s">
        <v>11</v>
      </c>
      <c r="E25" s="14" t="s">
        <v>536</v>
      </c>
      <c r="F25" s="13" t="s">
        <v>555</v>
      </c>
      <c r="G25" s="12" t="s">
        <v>23</v>
      </c>
      <c r="H25" s="15"/>
      <c r="I25" s="15"/>
      <c r="J25" s="15">
        <f t="shared" si="2"/>
        <v>0</v>
      </c>
    </row>
    <row r="26" ht="28.8" spans="1:10">
      <c r="A26" s="19">
        <f t="shared" si="3"/>
        <v>28</v>
      </c>
      <c r="B26" s="19"/>
      <c r="C26" s="13" t="s">
        <v>536</v>
      </c>
      <c r="D26" s="14" t="s">
        <v>11</v>
      </c>
      <c r="E26" s="14" t="s">
        <v>536</v>
      </c>
      <c r="F26" s="13" t="s">
        <v>556</v>
      </c>
      <c r="G26" s="12" t="s">
        <v>23</v>
      </c>
      <c r="H26" s="15"/>
      <c r="I26" s="15"/>
      <c r="J26" s="15">
        <f t="shared" si="2"/>
        <v>0</v>
      </c>
    </row>
    <row r="27" ht="28.8" spans="1:10">
      <c r="A27" s="19">
        <f t="shared" si="3"/>
        <v>29</v>
      </c>
      <c r="B27" s="19"/>
      <c r="C27" s="13" t="s">
        <v>536</v>
      </c>
      <c r="D27" s="14" t="s">
        <v>20</v>
      </c>
      <c r="E27" s="14" t="s">
        <v>457</v>
      </c>
      <c r="F27" s="13" t="s">
        <v>557</v>
      </c>
      <c r="G27" s="12" t="s">
        <v>23</v>
      </c>
      <c r="H27" s="15"/>
      <c r="I27" s="15"/>
      <c r="J27" s="15">
        <f t="shared" si="2"/>
        <v>0</v>
      </c>
    </row>
    <row r="28" ht="28.8" spans="1:10">
      <c r="A28" s="19">
        <f t="shared" si="3"/>
        <v>30</v>
      </c>
      <c r="B28" s="19"/>
      <c r="C28" s="13" t="s">
        <v>536</v>
      </c>
      <c r="D28" s="14" t="s">
        <v>20</v>
      </c>
      <c r="E28" s="14" t="s">
        <v>457</v>
      </c>
      <c r="F28" s="13" t="s">
        <v>558</v>
      </c>
      <c r="G28" s="12" t="s">
        <v>23</v>
      </c>
      <c r="H28" s="15"/>
      <c r="I28" s="15"/>
      <c r="J28" s="15">
        <f t="shared" si="2"/>
        <v>0</v>
      </c>
    </row>
    <row r="29" ht="28.8" spans="1:10">
      <c r="A29" s="19">
        <f t="shared" si="3"/>
        <v>31</v>
      </c>
      <c r="B29" s="19"/>
      <c r="C29" s="13" t="s">
        <v>536</v>
      </c>
      <c r="D29" s="14" t="s">
        <v>20</v>
      </c>
      <c r="E29" s="14" t="s">
        <v>457</v>
      </c>
      <c r="F29" s="13" t="s">
        <v>559</v>
      </c>
      <c r="G29" s="12" t="s">
        <v>23</v>
      </c>
      <c r="H29" s="15"/>
      <c r="I29" s="15"/>
      <c r="J29" s="15">
        <f t="shared" si="2"/>
        <v>0</v>
      </c>
    </row>
    <row r="30" ht="28.8" spans="1:10">
      <c r="A30" s="19">
        <f t="shared" si="3"/>
        <v>32</v>
      </c>
      <c r="B30" s="19"/>
      <c r="C30" s="13" t="s">
        <v>536</v>
      </c>
      <c r="D30" s="14" t="s">
        <v>20</v>
      </c>
      <c r="E30" s="14" t="s">
        <v>457</v>
      </c>
      <c r="F30" s="13" t="s">
        <v>560</v>
      </c>
      <c r="G30" s="12" t="s">
        <v>23</v>
      </c>
      <c r="H30" s="15"/>
      <c r="I30" s="15"/>
      <c r="J30" s="15">
        <f t="shared" si="2"/>
        <v>0</v>
      </c>
    </row>
    <row r="31" ht="28.8" spans="1:10">
      <c r="A31" s="19">
        <f t="shared" si="3"/>
        <v>33</v>
      </c>
      <c r="B31" s="19"/>
      <c r="C31" s="13" t="s">
        <v>536</v>
      </c>
      <c r="D31" s="14" t="s">
        <v>20</v>
      </c>
      <c r="E31" s="14" t="s">
        <v>457</v>
      </c>
      <c r="F31" s="13" t="s">
        <v>561</v>
      </c>
      <c r="G31" s="12" t="s">
        <v>23</v>
      </c>
      <c r="H31" s="15"/>
      <c r="I31" s="15"/>
      <c r="J31" s="15">
        <f t="shared" si="2"/>
        <v>0</v>
      </c>
    </row>
    <row r="32" ht="28.8" spans="1:10">
      <c r="A32" s="19">
        <f t="shared" si="3"/>
        <v>34</v>
      </c>
      <c r="B32" s="19"/>
      <c r="C32" s="13" t="s">
        <v>536</v>
      </c>
      <c r="D32" s="14" t="s">
        <v>20</v>
      </c>
      <c r="E32" s="14" t="s">
        <v>457</v>
      </c>
      <c r="F32" s="13" t="s">
        <v>562</v>
      </c>
      <c r="G32" s="12" t="s">
        <v>23</v>
      </c>
      <c r="H32" s="15"/>
      <c r="I32" s="15"/>
      <c r="J32" s="15">
        <f t="shared" si="2"/>
        <v>0</v>
      </c>
    </row>
    <row r="33" ht="28.8" spans="1:10">
      <c r="A33" s="19">
        <f t="shared" si="3"/>
        <v>35</v>
      </c>
      <c r="B33" s="19"/>
      <c r="C33" s="13" t="s">
        <v>536</v>
      </c>
      <c r="D33" s="14" t="s">
        <v>20</v>
      </c>
      <c r="E33" s="14" t="s">
        <v>457</v>
      </c>
      <c r="F33" s="13" t="s">
        <v>563</v>
      </c>
      <c r="G33" s="12" t="s">
        <v>23</v>
      </c>
      <c r="H33" s="15"/>
      <c r="I33" s="15"/>
      <c r="J33" s="15">
        <f t="shared" si="2"/>
        <v>0</v>
      </c>
    </row>
    <row r="34" ht="28.8" spans="1:10">
      <c r="A34" s="19">
        <f t="shared" si="3"/>
        <v>36</v>
      </c>
      <c r="B34" s="19"/>
      <c r="C34" s="13" t="s">
        <v>536</v>
      </c>
      <c r="D34" s="14" t="s">
        <v>20</v>
      </c>
      <c r="E34" s="14" t="s">
        <v>457</v>
      </c>
      <c r="F34" s="13" t="s">
        <v>564</v>
      </c>
      <c r="G34" s="12" t="s">
        <v>23</v>
      </c>
      <c r="H34" s="15"/>
      <c r="I34" s="15"/>
      <c r="J34" s="15">
        <f t="shared" si="2"/>
        <v>0</v>
      </c>
    </row>
    <row r="35" ht="28.8" spans="1:10">
      <c r="A35" s="19">
        <f t="shared" si="3"/>
        <v>37</v>
      </c>
      <c r="B35" s="19"/>
      <c r="C35" s="13" t="s">
        <v>536</v>
      </c>
      <c r="D35" s="14" t="s">
        <v>20</v>
      </c>
      <c r="E35" s="14" t="s">
        <v>457</v>
      </c>
      <c r="F35" s="13" t="s">
        <v>565</v>
      </c>
      <c r="G35" s="12" t="s">
        <v>23</v>
      </c>
      <c r="H35" s="15"/>
      <c r="I35" s="15"/>
      <c r="J35" s="15">
        <f t="shared" si="2"/>
        <v>0</v>
      </c>
    </row>
    <row r="36" ht="28.8" spans="1:10">
      <c r="A36" s="19">
        <f t="shared" si="3"/>
        <v>38</v>
      </c>
      <c r="B36" s="19"/>
      <c r="C36" s="13" t="s">
        <v>536</v>
      </c>
      <c r="D36" s="14" t="s">
        <v>20</v>
      </c>
      <c r="E36" s="14" t="s">
        <v>457</v>
      </c>
      <c r="F36" s="13" t="s">
        <v>458</v>
      </c>
      <c r="G36" s="12" t="s">
        <v>23</v>
      </c>
      <c r="H36" s="15"/>
      <c r="I36" s="15"/>
      <c r="J36" s="15">
        <f t="shared" si="2"/>
        <v>0</v>
      </c>
    </row>
    <row r="37" ht="28.8" spans="1:10">
      <c r="A37" s="19">
        <f t="shared" si="3"/>
        <v>39</v>
      </c>
      <c r="B37" s="19"/>
      <c r="C37" s="13" t="s">
        <v>536</v>
      </c>
      <c r="D37" s="14" t="s">
        <v>20</v>
      </c>
      <c r="E37" s="14" t="s">
        <v>457</v>
      </c>
      <c r="F37" s="13" t="s">
        <v>566</v>
      </c>
      <c r="G37" s="12" t="s">
        <v>23</v>
      </c>
      <c r="H37" s="15"/>
      <c r="I37" s="15"/>
      <c r="J37" s="15">
        <f t="shared" si="2"/>
        <v>0</v>
      </c>
    </row>
    <row r="38" ht="28.8" spans="1:10">
      <c r="A38" s="19">
        <f t="shared" si="3"/>
        <v>40</v>
      </c>
      <c r="B38" s="19"/>
      <c r="C38" s="13" t="s">
        <v>536</v>
      </c>
      <c r="D38" s="14" t="s">
        <v>20</v>
      </c>
      <c r="E38" s="14" t="s">
        <v>457</v>
      </c>
      <c r="F38" s="13" t="s">
        <v>567</v>
      </c>
      <c r="G38" s="12" t="s">
        <v>23</v>
      </c>
      <c r="H38" s="15"/>
      <c r="I38" s="15"/>
      <c r="J38" s="15">
        <f t="shared" si="2"/>
        <v>0</v>
      </c>
    </row>
    <row r="39" ht="28.8" spans="1:10">
      <c r="A39" s="19">
        <f t="shared" si="3"/>
        <v>41</v>
      </c>
      <c r="B39" s="19"/>
      <c r="C39" s="13" t="s">
        <v>536</v>
      </c>
      <c r="D39" s="14" t="s">
        <v>20</v>
      </c>
      <c r="E39" s="14" t="s">
        <v>457</v>
      </c>
      <c r="F39" s="13" t="s">
        <v>568</v>
      </c>
      <c r="G39" s="12" t="s">
        <v>23</v>
      </c>
      <c r="H39" s="15"/>
      <c r="I39" s="15"/>
      <c r="J39" s="15">
        <f t="shared" si="2"/>
        <v>0</v>
      </c>
    </row>
    <row r="40" ht="28.8" spans="1:10">
      <c r="A40" s="19">
        <f t="shared" si="3"/>
        <v>42</v>
      </c>
      <c r="B40" s="19"/>
      <c r="C40" s="13" t="s">
        <v>536</v>
      </c>
      <c r="D40" s="14" t="s">
        <v>20</v>
      </c>
      <c r="E40" s="14" t="s">
        <v>457</v>
      </c>
      <c r="F40" s="13" t="s">
        <v>569</v>
      </c>
      <c r="G40" s="12" t="s">
        <v>23</v>
      </c>
      <c r="H40" s="15"/>
      <c r="I40" s="15"/>
      <c r="J40" s="15">
        <f t="shared" si="2"/>
        <v>0</v>
      </c>
    </row>
    <row r="41" ht="28.8" spans="1:10">
      <c r="A41" s="19">
        <f t="shared" si="3"/>
        <v>43</v>
      </c>
      <c r="B41" s="19"/>
      <c r="C41" s="13" t="s">
        <v>536</v>
      </c>
      <c r="D41" s="14" t="s">
        <v>20</v>
      </c>
      <c r="E41" s="14" t="s">
        <v>457</v>
      </c>
      <c r="F41" s="13" t="s">
        <v>570</v>
      </c>
      <c r="G41" s="12" t="s">
        <v>23</v>
      </c>
      <c r="H41" s="15"/>
      <c r="I41" s="15"/>
      <c r="J41" s="15">
        <f t="shared" si="2"/>
        <v>0</v>
      </c>
    </row>
    <row r="42" ht="28.8" spans="1:10">
      <c r="A42" s="19">
        <f t="shared" si="3"/>
        <v>44</v>
      </c>
      <c r="B42" s="19"/>
      <c r="C42" s="13" t="s">
        <v>536</v>
      </c>
      <c r="D42" s="14" t="s">
        <v>20</v>
      </c>
      <c r="E42" s="14" t="s">
        <v>457</v>
      </c>
      <c r="F42" s="13" t="s">
        <v>571</v>
      </c>
      <c r="G42" s="12" t="s">
        <v>23</v>
      </c>
      <c r="H42" s="15"/>
      <c r="I42" s="15"/>
      <c r="J42" s="15">
        <f t="shared" si="2"/>
        <v>0</v>
      </c>
    </row>
    <row r="43" ht="28.8" spans="1:10">
      <c r="A43" s="19">
        <f t="shared" si="3"/>
        <v>45</v>
      </c>
      <c r="B43" s="19"/>
      <c r="C43" s="13" t="s">
        <v>536</v>
      </c>
      <c r="D43" s="14" t="s">
        <v>20</v>
      </c>
      <c r="E43" s="14" t="s">
        <v>457</v>
      </c>
      <c r="F43" s="13" t="s">
        <v>572</v>
      </c>
      <c r="G43" s="12" t="s">
        <v>23</v>
      </c>
      <c r="H43" s="15"/>
      <c r="I43" s="15"/>
      <c r="J43" s="15">
        <f t="shared" si="2"/>
        <v>0</v>
      </c>
    </row>
    <row r="44" ht="28.8" spans="1:10">
      <c r="A44" s="19">
        <f t="shared" si="3"/>
        <v>46</v>
      </c>
      <c r="B44" s="19"/>
      <c r="C44" s="13" t="s">
        <v>536</v>
      </c>
      <c r="D44" s="14" t="s">
        <v>20</v>
      </c>
      <c r="E44" s="14" t="s">
        <v>61</v>
      </c>
      <c r="F44" s="13" t="s">
        <v>573</v>
      </c>
      <c r="G44" s="12" t="s">
        <v>23</v>
      </c>
      <c r="H44" s="15"/>
      <c r="I44" s="15"/>
      <c r="J44" s="15">
        <f t="shared" si="2"/>
        <v>0</v>
      </c>
    </row>
    <row r="45" ht="28.8" spans="1:10">
      <c r="A45" s="19">
        <f t="shared" si="3"/>
        <v>47</v>
      </c>
      <c r="B45" s="19"/>
      <c r="C45" s="13" t="s">
        <v>536</v>
      </c>
      <c r="D45" s="14" t="s">
        <v>20</v>
      </c>
      <c r="E45" s="14" t="s">
        <v>61</v>
      </c>
      <c r="F45" s="13" t="s">
        <v>574</v>
      </c>
      <c r="G45" s="12" t="s">
        <v>23</v>
      </c>
      <c r="H45" s="15"/>
      <c r="I45" s="15"/>
      <c r="J45" s="15">
        <f t="shared" si="2"/>
        <v>0</v>
      </c>
    </row>
    <row r="46" ht="28.8" spans="1:10">
      <c r="A46" s="19">
        <f t="shared" si="3"/>
        <v>48</v>
      </c>
      <c r="B46" s="19"/>
      <c r="C46" s="13" t="s">
        <v>536</v>
      </c>
      <c r="D46" s="14" t="s">
        <v>20</v>
      </c>
      <c r="E46" s="14" t="s">
        <v>61</v>
      </c>
      <c r="F46" s="13" t="s">
        <v>575</v>
      </c>
      <c r="G46" s="12" t="s">
        <v>23</v>
      </c>
      <c r="H46" s="15"/>
      <c r="I46" s="15"/>
      <c r="J46" s="15">
        <f t="shared" si="2"/>
        <v>0</v>
      </c>
    </row>
    <row r="47" ht="28.8" spans="1:10">
      <c r="A47" s="19">
        <f t="shared" si="3"/>
        <v>49</v>
      </c>
      <c r="B47" s="19"/>
      <c r="C47" s="13" t="s">
        <v>536</v>
      </c>
      <c r="D47" s="14" t="s">
        <v>20</v>
      </c>
      <c r="E47" s="14" t="s">
        <v>576</v>
      </c>
      <c r="F47" s="13" t="s">
        <v>577</v>
      </c>
      <c r="G47" s="12" t="s">
        <v>23</v>
      </c>
      <c r="H47" s="15"/>
      <c r="I47" s="15"/>
      <c r="J47" s="15">
        <f t="shared" si="2"/>
        <v>0</v>
      </c>
    </row>
    <row r="48" ht="28.8" spans="1:10">
      <c r="A48" s="19">
        <f t="shared" si="3"/>
        <v>50</v>
      </c>
      <c r="B48" s="19"/>
      <c r="C48" s="13" t="s">
        <v>536</v>
      </c>
      <c r="D48" s="14" t="s">
        <v>20</v>
      </c>
      <c r="E48" s="14" t="s">
        <v>268</v>
      </c>
      <c r="F48" s="13" t="s">
        <v>578</v>
      </c>
      <c r="G48" s="12" t="s">
        <v>42</v>
      </c>
      <c r="H48" s="15"/>
      <c r="I48" s="15"/>
      <c r="J48" s="15">
        <f t="shared" si="2"/>
        <v>0</v>
      </c>
    </row>
    <row r="49" ht="28.8" spans="1:10">
      <c r="A49" s="19">
        <f t="shared" si="3"/>
        <v>51</v>
      </c>
      <c r="B49" s="19"/>
      <c r="C49" s="13" t="s">
        <v>536</v>
      </c>
      <c r="D49" s="14" t="s">
        <v>20</v>
      </c>
      <c r="E49" s="14" t="s">
        <v>114</v>
      </c>
      <c r="F49" s="13" t="s">
        <v>579</v>
      </c>
      <c r="G49" s="12" t="s">
        <v>23</v>
      </c>
      <c r="H49" s="15"/>
      <c r="I49" s="15"/>
      <c r="J49" s="15">
        <f t="shared" si="2"/>
        <v>0</v>
      </c>
    </row>
    <row r="50" ht="28.8" spans="1:10">
      <c r="A50" s="19">
        <f t="shared" si="3"/>
        <v>52</v>
      </c>
      <c r="B50" s="19"/>
      <c r="C50" s="13" t="s">
        <v>581</v>
      </c>
      <c r="D50" s="14" t="s">
        <v>11</v>
      </c>
      <c r="E50" s="14" t="s">
        <v>12</v>
      </c>
      <c r="F50" s="13" t="s">
        <v>13</v>
      </c>
      <c r="G50" s="12" t="s">
        <v>14</v>
      </c>
      <c r="H50" s="15"/>
      <c r="I50" s="15"/>
      <c r="J50" s="15">
        <f t="shared" si="2"/>
        <v>0</v>
      </c>
    </row>
    <row r="51" spans="1:10">
      <c r="A51" s="21">
        <f t="shared" si="3"/>
        <v>53</v>
      </c>
      <c r="B51" s="21"/>
      <c r="C51" s="13" t="s">
        <v>583</v>
      </c>
      <c r="D51" s="14" t="s">
        <v>11</v>
      </c>
      <c r="E51" s="14" t="s">
        <v>12</v>
      </c>
      <c r="F51" s="13" t="s">
        <v>13</v>
      </c>
      <c r="G51" s="12" t="s">
        <v>14</v>
      </c>
      <c r="H51" s="15"/>
      <c r="I51" s="15"/>
      <c r="J51" s="15">
        <f t="shared" si="2"/>
        <v>0</v>
      </c>
    </row>
    <row r="52" spans="1:10">
      <c r="A52" s="12"/>
      <c r="B52" s="12"/>
      <c r="C52" s="13" t="s">
        <v>591</v>
      </c>
      <c r="D52" s="14" t="s">
        <v>20</v>
      </c>
      <c r="E52" s="14" t="s">
        <v>61</v>
      </c>
      <c r="F52" s="13" t="s">
        <v>592</v>
      </c>
      <c r="G52" s="12" t="s">
        <v>175</v>
      </c>
      <c r="H52" s="15"/>
      <c r="I52" s="15"/>
      <c r="J52" s="15">
        <f t="shared" si="2"/>
        <v>0</v>
      </c>
    </row>
    <row r="53" spans="1:10">
      <c r="A53" s="12"/>
      <c r="B53" s="12"/>
      <c r="C53" s="13" t="s">
        <v>591</v>
      </c>
      <c r="D53" s="14" t="s">
        <v>20</v>
      </c>
      <c r="E53" s="14" t="s">
        <v>106</v>
      </c>
      <c r="F53" s="13" t="s">
        <v>593</v>
      </c>
      <c r="G53" s="12" t="s">
        <v>108</v>
      </c>
      <c r="H53" s="15"/>
      <c r="I53" s="15"/>
      <c r="J53" s="15">
        <f t="shared" si="2"/>
        <v>0</v>
      </c>
    </row>
    <row r="54" spans="1:10">
      <c r="A54" s="12"/>
      <c r="B54" s="12"/>
      <c r="C54" s="9" t="s">
        <v>595</v>
      </c>
      <c r="D54" s="14" t="s">
        <v>20</v>
      </c>
      <c r="E54" s="14" t="s">
        <v>600</v>
      </c>
      <c r="F54" s="13" t="s">
        <v>601</v>
      </c>
      <c r="G54" s="12" t="s">
        <v>63</v>
      </c>
      <c r="H54" s="15"/>
      <c r="I54" s="15"/>
      <c r="J54" s="15">
        <f t="shared" si="2"/>
        <v>0</v>
      </c>
    </row>
    <row r="55" ht="28.8" spans="1:10">
      <c r="A55" s="12"/>
      <c r="B55" s="12"/>
      <c r="C55" s="9" t="s">
        <v>603</v>
      </c>
      <c r="D55" s="14" t="s">
        <v>11</v>
      </c>
      <c r="E55" s="14" t="s">
        <v>24</v>
      </c>
      <c r="F55" s="22" t="s">
        <v>604</v>
      </c>
      <c r="G55" s="12" t="s">
        <v>34</v>
      </c>
      <c r="H55" s="15"/>
      <c r="I55" s="15"/>
      <c r="J55" s="15">
        <f t="shared" si="2"/>
        <v>0</v>
      </c>
    </row>
    <row r="56" ht="28.8" spans="1:10">
      <c r="A56" s="12"/>
      <c r="B56" s="12"/>
      <c r="C56" s="9" t="s">
        <v>603</v>
      </c>
      <c r="D56" s="14" t="s">
        <v>11</v>
      </c>
      <c r="E56" s="14" t="s">
        <v>24</v>
      </c>
      <c r="F56" s="22" t="s">
        <v>605</v>
      </c>
      <c r="G56" s="12" t="s">
        <v>34</v>
      </c>
      <c r="H56" s="15"/>
      <c r="I56" s="15"/>
      <c r="J56" s="15">
        <f t="shared" si="2"/>
        <v>0</v>
      </c>
    </row>
    <row r="57" ht="28.8" spans="1:10">
      <c r="A57" s="12"/>
      <c r="B57" s="12"/>
      <c r="C57" s="9" t="s">
        <v>603</v>
      </c>
      <c r="D57" s="14" t="s">
        <v>11</v>
      </c>
      <c r="E57" s="14" t="s">
        <v>24</v>
      </c>
      <c r="F57" s="22" t="s">
        <v>606</v>
      </c>
      <c r="G57" s="12" t="s">
        <v>34</v>
      </c>
      <c r="H57" s="15"/>
      <c r="I57" s="15"/>
      <c r="J57" s="15">
        <f t="shared" si="2"/>
        <v>0</v>
      </c>
    </row>
    <row r="58" ht="28.8" spans="1:10">
      <c r="A58" s="12"/>
      <c r="B58" s="12"/>
      <c r="C58" s="9" t="s">
        <v>603</v>
      </c>
      <c r="D58" s="14" t="s">
        <v>20</v>
      </c>
      <c r="E58" s="14" t="s">
        <v>47</v>
      </c>
      <c r="F58" s="13" t="s">
        <v>50</v>
      </c>
      <c r="G58" s="12" t="s">
        <v>49</v>
      </c>
      <c r="H58" s="15"/>
      <c r="I58" s="15"/>
      <c r="J58" s="15">
        <f t="shared" si="2"/>
        <v>0</v>
      </c>
    </row>
    <row r="59" ht="28.8" spans="1:10">
      <c r="A59" s="12"/>
      <c r="B59" s="12"/>
      <c r="C59" s="9" t="s">
        <v>603</v>
      </c>
      <c r="D59" s="14" t="s">
        <v>20</v>
      </c>
      <c r="E59" s="14" t="s">
        <v>61</v>
      </c>
      <c r="F59" s="13" t="s">
        <v>78</v>
      </c>
      <c r="G59" s="12" t="s">
        <v>49</v>
      </c>
      <c r="H59" s="15"/>
      <c r="I59" s="15"/>
      <c r="J59" s="15">
        <f t="shared" si="2"/>
        <v>0</v>
      </c>
    </row>
    <row r="60" ht="28.8" spans="1:10">
      <c r="A60" s="12"/>
      <c r="B60" s="12"/>
      <c r="C60" s="9" t="s">
        <v>603</v>
      </c>
      <c r="D60" s="14" t="s">
        <v>20</v>
      </c>
      <c r="E60" s="14" t="s">
        <v>84</v>
      </c>
      <c r="F60" s="13" t="s">
        <v>86</v>
      </c>
      <c r="G60" s="12" t="s">
        <v>49</v>
      </c>
      <c r="H60" s="15"/>
      <c r="I60" s="15"/>
      <c r="J60" s="15">
        <f t="shared" si="2"/>
        <v>0</v>
      </c>
    </row>
    <row r="61" ht="28.8" spans="1:10">
      <c r="A61" s="12"/>
      <c r="B61" s="12"/>
      <c r="C61" s="9" t="s">
        <v>603</v>
      </c>
      <c r="D61" s="14" t="s">
        <v>20</v>
      </c>
      <c r="E61" s="14" t="s">
        <v>84</v>
      </c>
      <c r="F61" s="13" t="s">
        <v>88</v>
      </c>
      <c r="G61" s="12" t="s">
        <v>49</v>
      </c>
      <c r="H61" s="15"/>
      <c r="I61" s="15"/>
      <c r="J61" s="15">
        <f t="shared" si="2"/>
        <v>0</v>
      </c>
    </row>
    <row r="62" ht="28.8" spans="1:10">
      <c r="A62" s="12"/>
      <c r="B62" s="12"/>
      <c r="C62" s="9" t="s">
        <v>603</v>
      </c>
      <c r="D62" s="14" t="s">
        <v>20</v>
      </c>
      <c r="E62" s="14" t="s">
        <v>84</v>
      </c>
      <c r="F62" s="13" t="s">
        <v>89</v>
      </c>
      <c r="G62" s="12" t="s">
        <v>49</v>
      </c>
      <c r="H62" s="15"/>
      <c r="I62" s="15"/>
      <c r="J62" s="15">
        <f t="shared" si="2"/>
        <v>0</v>
      </c>
    </row>
    <row r="63" ht="28.8" spans="1:10">
      <c r="A63" s="12"/>
      <c r="B63" s="12"/>
      <c r="C63" s="9" t="s">
        <v>603</v>
      </c>
      <c r="D63" s="14" t="s">
        <v>20</v>
      </c>
      <c r="E63" s="14" t="s">
        <v>84</v>
      </c>
      <c r="F63" s="13" t="s">
        <v>608</v>
      </c>
      <c r="G63" s="12" t="s">
        <v>100</v>
      </c>
      <c r="H63" s="15"/>
      <c r="I63" s="15"/>
      <c r="J63" s="15">
        <f t="shared" si="2"/>
        <v>0</v>
      </c>
    </row>
    <row r="64" ht="28.8" spans="1:10">
      <c r="A64" s="12"/>
      <c r="B64" s="12"/>
      <c r="C64" s="9" t="s">
        <v>603</v>
      </c>
      <c r="D64" s="14" t="s">
        <v>20</v>
      </c>
      <c r="E64" s="14" t="s">
        <v>84</v>
      </c>
      <c r="F64" s="13" t="s">
        <v>609</v>
      </c>
      <c r="G64" s="12" t="s">
        <v>63</v>
      </c>
      <c r="H64" s="15"/>
      <c r="I64" s="15"/>
      <c r="J64" s="15">
        <f t="shared" si="2"/>
        <v>0</v>
      </c>
    </row>
    <row r="65" ht="28.8" spans="1:10">
      <c r="A65" s="12"/>
      <c r="B65" s="12"/>
      <c r="C65" s="9" t="s">
        <v>603</v>
      </c>
      <c r="D65" s="14" t="s">
        <v>20</v>
      </c>
      <c r="E65" s="14" t="s">
        <v>84</v>
      </c>
      <c r="F65" s="13" t="s">
        <v>610</v>
      </c>
      <c r="G65" s="12" t="s">
        <v>611</v>
      </c>
      <c r="H65" s="15"/>
      <c r="I65" s="15"/>
      <c r="J65" s="15">
        <f t="shared" si="2"/>
        <v>0</v>
      </c>
    </row>
    <row r="66" ht="28.8" spans="1:10">
      <c r="A66" s="12"/>
      <c r="B66" s="12"/>
      <c r="C66" s="9" t="s">
        <v>603</v>
      </c>
      <c r="D66" s="14" t="s">
        <v>20</v>
      </c>
      <c r="E66" s="14" t="s">
        <v>84</v>
      </c>
      <c r="F66" s="13" t="s">
        <v>612</v>
      </c>
      <c r="G66" s="12" t="s">
        <v>611</v>
      </c>
      <c r="H66" s="15"/>
      <c r="I66" s="15"/>
      <c r="J66" s="15">
        <f t="shared" si="2"/>
        <v>0</v>
      </c>
    </row>
    <row r="67" ht="28.8" spans="1:10">
      <c r="A67" s="12"/>
      <c r="B67" s="12"/>
      <c r="C67" s="9" t="s">
        <v>603</v>
      </c>
      <c r="D67" s="14" t="s">
        <v>11</v>
      </c>
      <c r="E67" s="14" t="s">
        <v>613</v>
      </c>
      <c r="F67" s="13" t="s">
        <v>614</v>
      </c>
      <c r="G67" s="12" t="s">
        <v>108</v>
      </c>
      <c r="H67" s="15"/>
      <c r="I67" s="15"/>
      <c r="J67" s="15">
        <f t="shared" si="2"/>
        <v>0</v>
      </c>
    </row>
    <row r="68" ht="28.8" spans="1:10">
      <c r="A68" s="12"/>
      <c r="B68" s="12"/>
      <c r="C68" s="9" t="s">
        <v>603</v>
      </c>
      <c r="D68" s="14" t="s">
        <v>11</v>
      </c>
      <c r="E68" s="14" t="s">
        <v>613</v>
      </c>
      <c r="F68" s="13" t="s">
        <v>615</v>
      </c>
      <c r="G68" s="12" t="s">
        <v>108</v>
      </c>
      <c r="H68" s="15"/>
      <c r="I68" s="15"/>
      <c r="J68" s="15">
        <f t="shared" si="2"/>
        <v>0</v>
      </c>
    </row>
    <row r="69" ht="28.8" spans="1:10">
      <c r="A69" s="12"/>
      <c r="B69" s="12"/>
      <c r="C69" s="9" t="s">
        <v>623</v>
      </c>
      <c r="D69" s="14" t="s">
        <v>20</v>
      </c>
      <c r="E69" s="14" t="s">
        <v>47</v>
      </c>
      <c r="F69" s="23" t="s">
        <v>48</v>
      </c>
      <c r="G69" s="12" t="s">
        <v>49</v>
      </c>
      <c r="H69" s="15"/>
      <c r="I69" s="15"/>
      <c r="J69" s="15">
        <f t="shared" si="2"/>
        <v>0</v>
      </c>
    </row>
    <row r="70" ht="28.8" spans="1:10">
      <c r="A70" s="12"/>
      <c r="B70" s="12"/>
      <c r="C70" s="9" t="s">
        <v>623</v>
      </c>
      <c r="D70" s="14" t="s">
        <v>20</v>
      </c>
      <c r="E70" s="14" t="s">
        <v>624</v>
      </c>
      <c r="F70" s="13" t="s">
        <v>625</v>
      </c>
      <c r="G70" s="12" t="s">
        <v>23</v>
      </c>
      <c r="H70" s="15"/>
      <c r="I70" s="15"/>
      <c r="J70" s="15">
        <f t="shared" si="2"/>
        <v>0</v>
      </c>
    </row>
    <row r="71" ht="28.8" spans="1:10">
      <c r="A71" s="12"/>
      <c r="B71" s="12"/>
      <c r="C71" s="9" t="s">
        <v>623</v>
      </c>
      <c r="D71" s="14" t="s">
        <v>20</v>
      </c>
      <c r="E71" s="14" t="s">
        <v>624</v>
      </c>
      <c r="F71" s="13" t="s">
        <v>626</v>
      </c>
      <c r="G71" s="12" t="s">
        <v>23</v>
      </c>
      <c r="H71" s="15"/>
      <c r="I71" s="15"/>
      <c r="J71" s="15">
        <f t="shared" si="2"/>
        <v>0</v>
      </c>
    </row>
    <row r="72" ht="28.8" spans="1:10">
      <c r="A72" s="12"/>
      <c r="B72" s="12"/>
      <c r="C72" s="9" t="s">
        <v>623</v>
      </c>
      <c r="D72" s="14" t="s">
        <v>20</v>
      </c>
      <c r="E72" s="14" t="s">
        <v>624</v>
      </c>
      <c r="F72" s="13" t="s">
        <v>627</v>
      </c>
      <c r="G72" s="12" t="s">
        <v>23</v>
      </c>
      <c r="H72" s="15"/>
      <c r="I72" s="15"/>
      <c r="J72" s="15">
        <f t="shared" si="2"/>
        <v>0</v>
      </c>
    </row>
    <row r="73" ht="28.8" spans="1:10">
      <c r="A73" s="12"/>
      <c r="B73" s="12"/>
      <c r="C73" s="9" t="s">
        <v>623</v>
      </c>
      <c r="D73" s="14" t="s">
        <v>20</v>
      </c>
      <c r="E73" s="14" t="s">
        <v>624</v>
      </c>
      <c r="F73" s="13" t="s">
        <v>628</v>
      </c>
      <c r="G73" s="12" t="s">
        <v>23</v>
      </c>
      <c r="H73" s="15"/>
      <c r="I73" s="15"/>
      <c r="J73" s="15">
        <f t="shared" si="2"/>
        <v>0</v>
      </c>
    </row>
    <row r="74" ht="28.8" spans="1:10">
      <c r="A74" s="12"/>
      <c r="B74" s="12"/>
      <c r="C74" s="9" t="s">
        <v>623</v>
      </c>
      <c r="D74" s="14" t="s">
        <v>11</v>
      </c>
      <c r="E74" s="14" t="s">
        <v>630</v>
      </c>
      <c r="F74" s="13" t="s">
        <v>631</v>
      </c>
      <c r="G74" s="12" t="s">
        <v>17</v>
      </c>
      <c r="H74" s="15"/>
      <c r="I74" s="15"/>
      <c r="J74" s="15">
        <f t="shared" si="2"/>
        <v>0</v>
      </c>
    </row>
    <row r="75" ht="28.8" spans="1:10">
      <c r="A75" s="12"/>
      <c r="B75" s="12"/>
      <c r="C75" s="9" t="s">
        <v>633</v>
      </c>
      <c r="D75" s="14" t="s">
        <v>11</v>
      </c>
      <c r="E75" s="14" t="s">
        <v>634</v>
      </c>
      <c r="F75" s="13" t="s">
        <v>635</v>
      </c>
      <c r="G75" s="12" t="s">
        <v>23</v>
      </c>
      <c r="H75" s="15"/>
      <c r="I75" s="15"/>
      <c r="J75" s="15">
        <f t="shared" si="2"/>
        <v>0</v>
      </c>
    </row>
    <row r="76" ht="28.8" spans="1:10">
      <c r="A76" s="12"/>
      <c r="B76" s="12"/>
      <c r="C76" s="9" t="s">
        <v>633</v>
      </c>
      <c r="D76" s="14" t="s">
        <v>20</v>
      </c>
      <c r="E76" s="14" t="s">
        <v>636</v>
      </c>
      <c r="F76" s="13" t="s">
        <v>637</v>
      </c>
      <c r="G76" s="12" t="s">
        <v>23</v>
      </c>
      <c r="H76" s="15"/>
      <c r="I76" s="15"/>
      <c r="J76" s="15">
        <f t="shared" ref="J76:J119" si="4">+ROUND(PRODUCT(H76*I76),0)</f>
        <v>0</v>
      </c>
    </row>
    <row r="77" ht="28.8" spans="1:10">
      <c r="A77" s="12"/>
      <c r="B77" s="12"/>
      <c r="C77" s="9" t="s">
        <v>639</v>
      </c>
      <c r="D77" s="14" t="s">
        <v>11</v>
      </c>
      <c r="E77" s="14" t="s">
        <v>634</v>
      </c>
      <c r="F77" s="13" t="s">
        <v>640</v>
      </c>
      <c r="G77" s="12" t="s">
        <v>23</v>
      </c>
      <c r="H77" s="15"/>
      <c r="I77" s="15"/>
      <c r="J77" s="15">
        <f t="shared" si="4"/>
        <v>0</v>
      </c>
    </row>
    <row r="78" ht="28.8" spans="1:10">
      <c r="A78" s="12"/>
      <c r="B78" s="12"/>
      <c r="C78" s="9" t="s">
        <v>639</v>
      </c>
      <c r="D78" s="14" t="s">
        <v>20</v>
      </c>
      <c r="E78" s="14" t="s">
        <v>636</v>
      </c>
      <c r="F78" s="13" t="s">
        <v>641</v>
      </c>
      <c r="G78" s="12" t="s">
        <v>23</v>
      </c>
      <c r="H78" s="15"/>
      <c r="I78" s="15"/>
      <c r="J78" s="15">
        <f t="shared" si="4"/>
        <v>0</v>
      </c>
    </row>
    <row r="79" ht="28.8" spans="1:10">
      <c r="A79" s="12"/>
      <c r="B79" s="12"/>
      <c r="C79" s="9" t="s">
        <v>646</v>
      </c>
      <c r="D79" s="14" t="s">
        <v>20</v>
      </c>
      <c r="E79" s="14" t="s">
        <v>636</v>
      </c>
      <c r="F79" s="13" t="s">
        <v>647</v>
      </c>
      <c r="G79" s="12" t="s">
        <v>23</v>
      </c>
      <c r="H79" s="15"/>
      <c r="I79" s="15"/>
      <c r="J79" s="15">
        <f t="shared" si="4"/>
        <v>0</v>
      </c>
    </row>
    <row r="80" spans="1:10">
      <c r="A80" s="12"/>
      <c r="B80" s="12"/>
      <c r="C80" s="9" t="s">
        <v>660</v>
      </c>
      <c r="D80" s="14" t="s">
        <v>11</v>
      </c>
      <c r="E80" s="14" t="s">
        <v>12</v>
      </c>
      <c r="F80" s="13" t="s">
        <v>13</v>
      </c>
      <c r="G80" s="12" t="s">
        <v>14</v>
      </c>
      <c r="H80" s="15"/>
      <c r="I80" s="15"/>
      <c r="J80" s="15">
        <f t="shared" si="4"/>
        <v>0</v>
      </c>
    </row>
    <row r="81" spans="1:10">
      <c r="A81" s="12"/>
      <c r="B81" s="12"/>
      <c r="C81" s="9" t="s">
        <v>660</v>
      </c>
      <c r="D81" s="14" t="s">
        <v>11</v>
      </c>
      <c r="E81" s="14" t="s">
        <v>12</v>
      </c>
      <c r="F81" s="13" t="s">
        <v>15</v>
      </c>
      <c r="G81" s="12" t="s">
        <v>14</v>
      </c>
      <c r="H81" s="15"/>
      <c r="I81" s="15"/>
      <c r="J81" s="15">
        <f t="shared" si="4"/>
        <v>0</v>
      </c>
    </row>
    <row r="82" spans="1:10">
      <c r="A82" s="12"/>
      <c r="B82" s="12"/>
      <c r="C82" s="9" t="s">
        <v>660</v>
      </c>
      <c r="D82" s="14" t="s">
        <v>11</v>
      </c>
      <c r="E82" s="14" t="s">
        <v>12</v>
      </c>
      <c r="F82" s="13" t="s">
        <v>28</v>
      </c>
      <c r="G82" s="12" t="s">
        <v>14</v>
      </c>
      <c r="H82" s="15"/>
      <c r="I82" s="15"/>
      <c r="J82" s="15">
        <f t="shared" si="4"/>
        <v>0</v>
      </c>
    </row>
    <row r="83" spans="1:10">
      <c r="A83" s="12"/>
      <c r="B83" s="12"/>
      <c r="C83" s="9" t="s">
        <v>660</v>
      </c>
      <c r="D83" s="14" t="s">
        <v>20</v>
      </c>
      <c r="E83" s="14" t="s">
        <v>106</v>
      </c>
      <c r="F83" s="13" t="s">
        <v>107</v>
      </c>
      <c r="G83" s="12" t="s">
        <v>108</v>
      </c>
      <c r="H83" s="15"/>
      <c r="I83" s="15"/>
      <c r="J83" s="15">
        <f t="shared" si="4"/>
        <v>0</v>
      </c>
    </row>
    <row r="84" spans="1:10">
      <c r="A84" s="12"/>
      <c r="B84" s="12"/>
      <c r="C84" s="9" t="s">
        <v>660</v>
      </c>
      <c r="D84" s="14" t="s">
        <v>20</v>
      </c>
      <c r="E84" s="14" t="s">
        <v>596</v>
      </c>
      <c r="F84" s="23" t="s">
        <v>597</v>
      </c>
      <c r="G84" s="12" t="s">
        <v>46</v>
      </c>
      <c r="H84" s="15"/>
      <c r="I84" s="15"/>
      <c r="J84" s="15">
        <f t="shared" si="4"/>
        <v>0</v>
      </c>
    </row>
    <row r="85" spans="1:10">
      <c r="A85" s="12"/>
      <c r="B85" s="12"/>
      <c r="C85" s="9" t="s">
        <v>662</v>
      </c>
      <c r="D85" s="14" t="s">
        <v>11</v>
      </c>
      <c r="E85" s="14" t="s">
        <v>12</v>
      </c>
      <c r="F85" s="23" t="s">
        <v>13</v>
      </c>
      <c r="G85" s="12" t="s">
        <v>14</v>
      </c>
      <c r="H85" s="15"/>
      <c r="I85" s="15"/>
      <c r="J85" s="15">
        <f t="shared" si="4"/>
        <v>0</v>
      </c>
    </row>
    <row r="86" spans="1:10">
      <c r="A86" s="12"/>
      <c r="B86" s="12"/>
      <c r="C86" s="9" t="s">
        <v>662</v>
      </c>
      <c r="D86" s="14" t="s">
        <v>11</v>
      </c>
      <c r="E86" s="14" t="s">
        <v>12</v>
      </c>
      <c r="F86" s="23" t="s">
        <v>15</v>
      </c>
      <c r="G86" s="12" t="s">
        <v>14</v>
      </c>
      <c r="H86" s="15"/>
      <c r="I86" s="15"/>
      <c r="J86" s="15">
        <f t="shared" si="4"/>
        <v>0</v>
      </c>
    </row>
    <row r="87" spans="1:10">
      <c r="A87" s="12"/>
      <c r="B87" s="12"/>
      <c r="C87" s="9" t="s">
        <v>662</v>
      </c>
      <c r="D87" s="14" t="s">
        <v>11</v>
      </c>
      <c r="E87" s="14" t="s">
        <v>12</v>
      </c>
      <c r="F87" s="23" t="s">
        <v>28</v>
      </c>
      <c r="G87" s="12" t="s">
        <v>14</v>
      </c>
      <c r="H87" s="15"/>
      <c r="I87" s="15"/>
      <c r="J87" s="15">
        <f t="shared" si="4"/>
        <v>0</v>
      </c>
    </row>
    <row r="88" spans="1:10">
      <c r="A88" s="12"/>
      <c r="B88" s="12"/>
      <c r="C88" s="9" t="s">
        <v>662</v>
      </c>
      <c r="D88" s="14" t="s">
        <v>20</v>
      </c>
      <c r="E88" s="14" t="s">
        <v>106</v>
      </c>
      <c r="F88" s="23" t="s">
        <v>107</v>
      </c>
      <c r="G88" s="12" t="s">
        <v>108</v>
      </c>
      <c r="H88" s="15"/>
      <c r="I88" s="15"/>
      <c r="J88" s="15">
        <f t="shared" si="4"/>
        <v>0</v>
      </c>
    </row>
    <row r="89" spans="1:10">
      <c r="A89" s="12"/>
      <c r="B89" s="12"/>
      <c r="C89" s="9" t="s">
        <v>664</v>
      </c>
      <c r="D89" s="14" t="s">
        <v>11</v>
      </c>
      <c r="E89" s="14" t="s">
        <v>665</v>
      </c>
      <c r="F89" s="13" t="s">
        <v>666</v>
      </c>
      <c r="G89" s="12" t="s">
        <v>34</v>
      </c>
      <c r="H89" s="15"/>
      <c r="I89" s="15"/>
      <c r="J89" s="15">
        <f t="shared" si="4"/>
        <v>0</v>
      </c>
    </row>
    <row r="90" spans="1:10">
      <c r="A90" s="12"/>
      <c r="B90" s="12"/>
      <c r="C90" s="9" t="s">
        <v>664</v>
      </c>
      <c r="D90" s="14" t="s">
        <v>11</v>
      </c>
      <c r="E90" s="14" t="s">
        <v>12</v>
      </c>
      <c r="F90" s="13" t="s">
        <v>13</v>
      </c>
      <c r="G90" s="12" t="s">
        <v>14</v>
      </c>
      <c r="H90" s="15"/>
      <c r="I90" s="15"/>
      <c r="J90" s="15">
        <f t="shared" si="4"/>
        <v>0</v>
      </c>
    </row>
    <row r="91" spans="1:10">
      <c r="A91" s="12"/>
      <c r="B91" s="12"/>
      <c r="C91" s="9" t="s">
        <v>664</v>
      </c>
      <c r="D91" s="14" t="s">
        <v>11</v>
      </c>
      <c r="E91" s="14" t="s">
        <v>12</v>
      </c>
      <c r="F91" s="13" t="s">
        <v>15</v>
      </c>
      <c r="G91" s="12" t="s">
        <v>14</v>
      </c>
      <c r="H91" s="15"/>
      <c r="I91" s="15"/>
      <c r="J91" s="15">
        <f t="shared" si="4"/>
        <v>0</v>
      </c>
    </row>
    <row r="92" spans="1:10">
      <c r="A92" s="12"/>
      <c r="B92" s="12"/>
      <c r="C92" s="9" t="s">
        <v>664</v>
      </c>
      <c r="D92" s="14" t="s">
        <v>11</v>
      </c>
      <c r="E92" s="14" t="s">
        <v>12</v>
      </c>
      <c r="F92" s="13" t="s">
        <v>28</v>
      </c>
      <c r="G92" s="12" t="s">
        <v>14</v>
      </c>
      <c r="H92" s="15"/>
      <c r="I92" s="15"/>
      <c r="J92" s="15">
        <f t="shared" si="4"/>
        <v>0</v>
      </c>
    </row>
    <row r="93" ht="28.8" spans="1:10">
      <c r="A93" s="12"/>
      <c r="B93" s="12"/>
      <c r="C93" s="9" t="s">
        <v>664</v>
      </c>
      <c r="D93" s="14" t="s">
        <v>20</v>
      </c>
      <c r="E93" s="14" t="s">
        <v>59</v>
      </c>
      <c r="F93" s="13" t="s">
        <v>667</v>
      </c>
      <c r="G93" s="12" t="s">
        <v>49</v>
      </c>
      <c r="H93" s="15"/>
      <c r="I93" s="15"/>
      <c r="J93" s="15">
        <f t="shared" si="4"/>
        <v>0</v>
      </c>
    </row>
    <row r="94" spans="1:10">
      <c r="A94" s="12"/>
      <c r="B94" s="12"/>
      <c r="C94" s="9" t="s">
        <v>664</v>
      </c>
      <c r="D94" s="14" t="s">
        <v>20</v>
      </c>
      <c r="E94" s="14" t="s">
        <v>59</v>
      </c>
      <c r="F94" s="13" t="s">
        <v>668</v>
      </c>
      <c r="G94" s="12" t="s">
        <v>49</v>
      </c>
      <c r="H94" s="15"/>
      <c r="I94" s="15"/>
      <c r="J94" s="15">
        <f t="shared" si="4"/>
        <v>0</v>
      </c>
    </row>
    <row r="95" spans="1:10">
      <c r="A95" s="12"/>
      <c r="B95" s="12"/>
      <c r="C95" s="9" t="s">
        <v>664</v>
      </c>
      <c r="D95" s="14" t="s">
        <v>20</v>
      </c>
      <c r="E95" s="14" t="s">
        <v>59</v>
      </c>
      <c r="F95" s="13" t="s">
        <v>60</v>
      </c>
      <c r="G95" s="12" t="s">
        <v>49</v>
      </c>
      <c r="H95" s="15"/>
      <c r="I95" s="15"/>
      <c r="J95" s="15">
        <f t="shared" si="4"/>
        <v>0</v>
      </c>
    </row>
    <row r="96" spans="1:10">
      <c r="A96" s="12"/>
      <c r="B96" s="12"/>
      <c r="C96" s="9" t="s">
        <v>664</v>
      </c>
      <c r="D96" s="14" t="s">
        <v>20</v>
      </c>
      <c r="E96" s="14" t="s">
        <v>106</v>
      </c>
      <c r="F96" s="13" t="s">
        <v>110</v>
      </c>
      <c r="G96" s="12" t="s">
        <v>108</v>
      </c>
      <c r="H96" s="15"/>
      <c r="I96" s="15"/>
      <c r="J96" s="15">
        <f t="shared" si="4"/>
        <v>0</v>
      </c>
    </row>
    <row r="97" spans="1:10">
      <c r="A97" s="12"/>
      <c r="B97" s="12"/>
      <c r="C97" s="9" t="s">
        <v>671</v>
      </c>
      <c r="D97" s="14" t="s">
        <v>11</v>
      </c>
      <c r="E97" s="24" t="s">
        <v>665</v>
      </c>
      <c r="F97" s="22" t="s">
        <v>666</v>
      </c>
      <c r="G97" s="12" t="s">
        <v>34</v>
      </c>
      <c r="H97" s="15"/>
      <c r="I97" s="15"/>
      <c r="J97" s="15">
        <f t="shared" si="4"/>
        <v>0</v>
      </c>
    </row>
    <row r="98" spans="1:10">
      <c r="A98" s="12"/>
      <c r="B98" s="12"/>
      <c r="C98" s="9" t="s">
        <v>671</v>
      </c>
      <c r="D98" s="14" t="s">
        <v>11</v>
      </c>
      <c r="E98" s="24" t="s">
        <v>12</v>
      </c>
      <c r="F98" s="22" t="s">
        <v>13</v>
      </c>
      <c r="G98" s="12" t="s">
        <v>14</v>
      </c>
      <c r="H98" s="15"/>
      <c r="I98" s="15"/>
      <c r="J98" s="15">
        <f t="shared" si="4"/>
        <v>0</v>
      </c>
    </row>
    <row r="99" spans="1:10">
      <c r="A99" s="12"/>
      <c r="B99" s="12"/>
      <c r="C99" s="9" t="s">
        <v>671</v>
      </c>
      <c r="D99" s="14" t="s">
        <v>11</v>
      </c>
      <c r="E99" s="24" t="s">
        <v>12</v>
      </c>
      <c r="F99" s="22" t="s">
        <v>15</v>
      </c>
      <c r="G99" s="12" t="s">
        <v>14</v>
      </c>
      <c r="H99" s="15"/>
      <c r="I99" s="15"/>
      <c r="J99" s="15">
        <f t="shared" si="4"/>
        <v>0</v>
      </c>
    </row>
    <row r="100" spans="1:10">
      <c r="A100" s="12"/>
      <c r="B100" s="12"/>
      <c r="C100" s="9" t="s">
        <v>671</v>
      </c>
      <c r="D100" s="14" t="s">
        <v>11</v>
      </c>
      <c r="E100" s="24" t="s">
        <v>12</v>
      </c>
      <c r="F100" s="22" t="s">
        <v>28</v>
      </c>
      <c r="G100" s="12" t="s">
        <v>14</v>
      </c>
      <c r="H100" s="15"/>
      <c r="I100" s="15"/>
      <c r="J100" s="15">
        <f t="shared" si="4"/>
        <v>0</v>
      </c>
    </row>
    <row r="101" ht="28.8" spans="1:10">
      <c r="A101" s="12"/>
      <c r="B101" s="12"/>
      <c r="C101" s="9" t="s">
        <v>671</v>
      </c>
      <c r="D101" s="14" t="s">
        <v>20</v>
      </c>
      <c r="E101" s="14" t="s">
        <v>59</v>
      </c>
      <c r="F101" s="13" t="s">
        <v>667</v>
      </c>
      <c r="G101" s="12" t="s">
        <v>49</v>
      </c>
      <c r="H101" s="15"/>
      <c r="I101" s="15"/>
      <c r="J101" s="15">
        <f t="shared" si="4"/>
        <v>0</v>
      </c>
    </row>
    <row r="102" spans="1:10">
      <c r="A102" s="12"/>
      <c r="B102" s="12"/>
      <c r="C102" s="9" t="s">
        <v>671</v>
      </c>
      <c r="D102" s="14" t="s">
        <v>20</v>
      </c>
      <c r="E102" s="14" t="s">
        <v>59</v>
      </c>
      <c r="F102" s="13" t="s">
        <v>668</v>
      </c>
      <c r="G102" s="12" t="s">
        <v>49</v>
      </c>
      <c r="H102" s="15"/>
      <c r="I102" s="15"/>
      <c r="J102" s="15">
        <f t="shared" si="4"/>
        <v>0</v>
      </c>
    </row>
    <row r="103" spans="1:10">
      <c r="A103" s="12"/>
      <c r="B103" s="12"/>
      <c r="C103" s="9" t="s">
        <v>671</v>
      </c>
      <c r="D103" s="14" t="s">
        <v>20</v>
      </c>
      <c r="E103" s="14" t="s">
        <v>59</v>
      </c>
      <c r="F103" s="13" t="s">
        <v>60</v>
      </c>
      <c r="G103" s="12" t="s">
        <v>49</v>
      </c>
      <c r="H103" s="15"/>
      <c r="I103" s="15"/>
      <c r="J103" s="15">
        <f t="shared" si="4"/>
        <v>0</v>
      </c>
    </row>
    <row r="104" spans="1:10">
      <c r="A104" s="12"/>
      <c r="B104" s="12"/>
      <c r="C104" s="9" t="s">
        <v>671</v>
      </c>
      <c r="D104" s="14" t="s">
        <v>20</v>
      </c>
      <c r="E104" s="14" t="s">
        <v>106</v>
      </c>
      <c r="F104" s="13" t="s">
        <v>669</v>
      </c>
      <c r="G104" s="12" t="s">
        <v>108</v>
      </c>
      <c r="H104" s="15"/>
      <c r="I104" s="15"/>
      <c r="J104" s="15">
        <f t="shared" si="4"/>
        <v>0</v>
      </c>
    </row>
    <row r="105" spans="1:10">
      <c r="A105" s="12"/>
      <c r="B105" s="12"/>
      <c r="C105" s="9" t="s">
        <v>674</v>
      </c>
      <c r="D105" s="14" t="s">
        <v>11</v>
      </c>
      <c r="E105" s="14" t="s">
        <v>665</v>
      </c>
      <c r="F105" s="13" t="s">
        <v>666</v>
      </c>
      <c r="G105" s="12" t="s">
        <v>34</v>
      </c>
      <c r="H105" s="15"/>
      <c r="I105" s="15"/>
      <c r="J105" s="15">
        <f t="shared" si="4"/>
        <v>0</v>
      </c>
    </row>
    <row r="106" spans="1:10">
      <c r="A106" s="12"/>
      <c r="B106" s="12"/>
      <c r="C106" s="9" t="s">
        <v>674</v>
      </c>
      <c r="D106" s="14" t="s">
        <v>11</v>
      </c>
      <c r="E106" s="14" t="s">
        <v>12</v>
      </c>
      <c r="F106" s="13" t="s">
        <v>13</v>
      </c>
      <c r="G106" s="12" t="s">
        <v>14</v>
      </c>
      <c r="H106" s="15"/>
      <c r="I106" s="15"/>
      <c r="J106" s="15">
        <f t="shared" si="4"/>
        <v>0</v>
      </c>
    </row>
    <row r="107" spans="1:10">
      <c r="A107" s="12"/>
      <c r="B107" s="12"/>
      <c r="C107" s="9" t="s">
        <v>674</v>
      </c>
      <c r="D107" s="14" t="s">
        <v>11</v>
      </c>
      <c r="E107" s="14" t="s">
        <v>12</v>
      </c>
      <c r="F107" s="13" t="s">
        <v>15</v>
      </c>
      <c r="G107" s="12" t="s">
        <v>14</v>
      </c>
      <c r="H107" s="15"/>
      <c r="I107" s="15"/>
      <c r="J107" s="15">
        <f t="shared" si="4"/>
        <v>0</v>
      </c>
    </row>
    <row r="108" spans="1:10">
      <c r="A108" s="12"/>
      <c r="B108" s="12"/>
      <c r="C108" s="9" t="s">
        <v>674</v>
      </c>
      <c r="D108" s="14" t="s">
        <v>11</v>
      </c>
      <c r="E108" s="14" t="s">
        <v>12</v>
      </c>
      <c r="F108" s="13" t="s">
        <v>28</v>
      </c>
      <c r="G108" s="12" t="s">
        <v>14</v>
      </c>
      <c r="H108" s="15"/>
      <c r="I108" s="15"/>
      <c r="J108" s="15">
        <f t="shared" si="4"/>
        <v>0</v>
      </c>
    </row>
    <row r="109" ht="28.8" spans="1:10">
      <c r="A109" s="12"/>
      <c r="B109" s="12"/>
      <c r="C109" s="9" t="s">
        <v>674</v>
      </c>
      <c r="D109" s="14" t="s">
        <v>20</v>
      </c>
      <c r="E109" s="14" t="s">
        <v>59</v>
      </c>
      <c r="F109" s="13" t="s">
        <v>667</v>
      </c>
      <c r="G109" s="12" t="s">
        <v>49</v>
      </c>
      <c r="H109" s="15"/>
      <c r="I109" s="15"/>
      <c r="J109" s="15">
        <f t="shared" si="4"/>
        <v>0</v>
      </c>
    </row>
    <row r="110" spans="1:10">
      <c r="A110" s="12"/>
      <c r="B110" s="12"/>
      <c r="C110" s="9" t="s">
        <v>674</v>
      </c>
      <c r="D110" s="14" t="s">
        <v>20</v>
      </c>
      <c r="E110" s="14" t="s">
        <v>59</v>
      </c>
      <c r="F110" s="13" t="s">
        <v>668</v>
      </c>
      <c r="G110" s="12" t="s">
        <v>49</v>
      </c>
      <c r="H110" s="15"/>
      <c r="I110" s="15"/>
      <c r="J110" s="15">
        <f t="shared" si="4"/>
        <v>0</v>
      </c>
    </row>
    <row r="111" spans="1:10">
      <c r="A111" s="12"/>
      <c r="B111" s="12"/>
      <c r="C111" s="9" t="s">
        <v>674</v>
      </c>
      <c r="D111" s="14" t="s">
        <v>20</v>
      </c>
      <c r="E111" s="14" t="s">
        <v>59</v>
      </c>
      <c r="F111" s="13" t="s">
        <v>60</v>
      </c>
      <c r="G111" s="12" t="s">
        <v>49</v>
      </c>
      <c r="H111" s="15"/>
      <c r="I111" s="15"/>
      <c r="J111" s="15">
        <f t="shared" si="4"/>
        <v>0</v>
      </c>
    </row>
    <row r="112" spans="1:10">
      <c r="A112" s="12"/>
      <c r="B112" s="12"/>
      <c r="C112" s="9" t="s">
        <v>674</v>
      </c>
      <c r="D112" s="14" t="s">
        <v>20</v>
      </c>
      <c r="E112" s="14" t="s">
        <v>106</v>
      </c>
      <c r="F112" s="13" t="s">
        <v>675</v>
      </c>
      <c r="G112" s="12" t="s">
        <v>108</v>
      </c>
      <c r="H112" s="15"/>
      <c r="I112" s="15"/>
      <c r="J112" s="15">
        <f t="shared" si="4"/>
        <v>0</v>
      </c>
    </row>
    <row r="113" spans="1:10">
      <c r="A113" s="12"/>
      <c r="B113" s="12"/>
      <c r="C113" s="9" t="s">
        <v>677</v>
      </c>
      <c r="D113" s="14" t="s">
        <v>11</v>
      </c>
      <c r="E113" s="14" t="s">
        <v>12</v>
      </c>
      <c r="F113" s="13" t="s">
        <v>13</v>
      </c>
      <c r="G113" s="12" t="s">
        <v>14</v>
      </c>
      <c r="H113" s="15"/>
      <c r="I113" s="15"/>
      <c r="J113" s="15">
        <f t="shared" si="4"/>
        <v>0</v>
      </c>
    </row>
    <row r="114" spans="1:10">
      <c r="A114" s="12"/>
      <c r="B114" s="12"/>
      <c r="C114" s="9" t="s">
        <v>677</v>
      </c>
      <c r="D114" s="14" t="s">
        <v>11</v>
      </c>
      <c r="E114" s="14" t="s">
        <v>12</v>
      </c>
      <c r="F114" s="13" t="s">
        <v>15</v>
      </c>
      <c r="G114" s="12" t="s">
        <v>14</v>
      </c>
      <c r="H114" s="15"/>
      <c r="I114" s="15"/>
      <c r="J114" s="15">
        <f t="shared" si="4"/>
        <v>0</v>
      </c>
    </row>
    <row r="115" spans="1:10">
      <c r="A115" s="12"/>
      <c r="B115" s="12"/>
      <c r="C115" s="9" t="s">
        <v>677</v>
      </c>
      <c r="D115" s="14" t="s">
        <v>11</v>
      </c>
      <c r="E115" s="14" t="s">
        <v>12</v>
      </c>
      <c r="F115" s="13" t="s">
        <v>28</v>
      </c>
      <c r="G115" s="12" t="s">
        <v>14</v>
      </c>
      <c r="H115" s="15"/>
      <c r="I115" s="15"/>
      <c r="J115" s="15">
        <f t="shared" si="4"/>
        <v>0</v>
      </c>
    </row>
    <row r="116" ht="28.8" spans="1:10">
      <c r="A116" s="12"/>
      <c r="B116" s="12"/>
      <c r="C116" s="9" t="s">
        <v>677</v>
      </c>
      <c r="D116" s="14" t="s">
        <v>20</v>
      </c>
      <c r="E116" s="14" t="s">
        <v>59</v>
      </c>
      <c r="F116" s="13" t="s">
        <v>667</v>
      </c>
      <c r="G116" s="12" t="s">
        <v>49</v>
      </c>
      <c r="H116" s="15"/>
      <c r="I116" s="15"/>
      <c r="J116" s="15">
        <f t="shared" si="4"/>
        <v>0</v>
      </c>
    </row>
    <row r="117" spans="1:10">
      <c r="A117" s="12"/>
      <c r="B117" s="12"/>
      <c r="C117" s="9" t="s">
        <v>677</v>
      </c>
      <c r="D117" s="14" t="s">
        <v>20</v>
      </c>
      <c r="E117" s="14" t="s">
        <v>59</v>
      </c>
      <c r="F117" s="13" t="s">
        <v>668</v>
      </c>
      <c r="G117" s="12" t="s">
        <v>49</v>
      </c>
      <c r="H117" s="15"/>
      <c r="I117" s="15"/>
      <c r="J117" s="15">
        <f t="shared" si="4"/>
        <v>0</v>
      </c>
    </row>
    <row r="118" spans="1:10">
      <c r="A118" s="12"/>
      <c r="B118" s="12"/>
      <c r="C118" s="9" t="s">
        <v>677</v>
      </c>
      <c r="D118" s="14" t="s">
        <v>20</v>
      </c>
      <c r="E118" s="14" t="s">
        <v>59</v>
      </c>
      <c r="F118" s="13" t="s">
        <v>60</v>
      </c>
      <c r="G118" s="12" t="s">
        <v>49</v>
      </c>
      <c r="H118" s="15"/>
      <c r="I118" s="15"/>
      <c r="J118" s="15">
        <f t="shared" si="4"/>
        <v>0</v>
      </c>
    </row>
    <row r="119" spans="1:10">
      <c r="A119" s="12"/>
      <c r="B119" s="12"/>
      <c r="C119" s="9" t="s">
        <v>677</v>
      </c>
      <c r="D119" s="14" t="s">
        <v>20</v>
      </c>
      <c r="E119" s="14" t="s">
        <v>106</v>
      </c>
      <c r="F119" s="13" t="s">
        <v>678</v>
      </c>
      <c r="G119" s="12" t="s">
        <v>108</v>
      </c>
      <c r="H119" s="15"/>
      <c r="I119" s="15"/>
      <c r="J119" s="15">
        <f t="shared" si="4"/>
        <v>0</v>
      </c>
    </row>
    <row r="120" spans="1:10">
      <c r="A120" s="12"/>
      <c r="B120" s="12"/>
      <c r="C120" s="9"/>
      <c r="D120" s="14"/>
      <c r="E120" s="14"/>
      <c r="F120" s="13"/>
      <c r="G120" s="12"/>
      <c r="H120" s="15"/>
      <c r="I120" s="15"/>
      <c r="J120" s="15"/>
    </row>
    <row r="121" spans="1:10">
      <c r="A121" s="12"/>
      <c r="B121" s="12"/>
      <c r="C121" s="9"/>
      <c r="D121" s="14"/>
      <c r="E121" s="14"/>
      <c r="F121" s="13"/>
      <c r="G121" s="12"/>
      <c r="H121" s="15"/>
      <c r="I121" s="15"/>
      <c r="J121" s="15"/>
    </row>
    <row r="122" spans="1:10">
      <c r="A122" s="12"/>
      <c r="B122" s="12"/>
      <c r="C122" s="9"/>
      <c r="D122" s="14"/>
      <c r="E122" s="14"/>
      <c r="F122" s="13"/>
      <c r="G122" s="12"/>
      <c r="H122" s="15"/>
      <c r="I122" s="15"/>
      <c r="J122" s="15"/>
    </row>
    <row r="123" spans="1:10">
      <c r="A123" s="12"/>
      <c r="B123" s="12"/>
      <c r="C123" s="13" t="s">
        <v>680</v>
      </c>
      <c r="D123" s="14" t="s">
        <v>20</v>
      </c>
      <c r="E123" s="14" t="s">
        <v>600</v>
      </c>
      <c r="F123" s="13" t="s">
        <v>601</v>
      </c>
      <c r="G123" s="12" t="s">
        <v>63</v>
      </c>
      <c r="H123" s="15"/>
      <c r="I123" s="15"/>
      <c r="J123" s="15">
        <f t="shared" ref="J123:J140" si="5">+ROUND(PRODUCT(H123*I123),0)</f>
        <v>0</v>
      </c>
    </row>
    <row r="124" ht="28.8" spans="1:10">
      <c r="A124" s="12"/>
      <c r="B124" s="12"/>
      <c r="C124" s="13" t="s">
        <v>682</v>
      </c>
      <c r="D124" s="14" t="s">
        <v>11</v>
      </c>
      <c r="E124" s="14" t="s">
        <v>24</v>
      </c>
      <c r="F124" s="13" t="s">
        <v>604</v>
      </c>
      <c r="G124" s="12" t="s">
        <v>34</v>
      </c>
      <c r="H124" s="15"/>
      <c r="I124" s="15"/>
      <c r="J124" s="15">
        <f t="shared" si="5"/>
        <v>0</v>
      </c>
    </row>
    <row r="125" ht="28.8" spans="1:10">
      <c r="A125" s="12"/>
      <c r="B125" s="12"/>
      <c r="C125" s="13" t="s">
        <v>682</v>
      </c>
      <c r="D125" s="14" t="s">
        <v>11</v>
      </c>
      <c r="E125" s="14" t="s">
        <v>24</v>
      </c>
      <c r="F125" s="13" t="s">
        <v>605</v>
      </c>
      <c r="G125" s="12" t="s">
        <v>34</v>
      </c>
      <c r="H125" s="15"/>
      <c r="I125" s="15"/>
      <c r="J125" s="15">
        <f t="shared" si="5"/>
        <v>0</v>
      </c>
    </row>
    <row r="126" ht="28.8" spans="1:10">
      <c r="A126" s="12"/>
      <c r="B126" s="12"/>
      <c r="C126" s="13" t="s">
        <v>682</v>
      </c>
      <c r="D126" s="14" t="s">
        <v>11</v>
      </c>
      <c r="E126" s="14" t="s">
        <v>24</v>
      </c>
      <c r="F126" s="13" t="s">
        <v>606</v>
      </c>
      <c r="G126" s="12" t="s">
        <v>34</v>
      </c>
      <c r="H126" s="15"/>
      <c r="I126" s="15"/>
      <c r="J126" s="15">
        <f t="shared" si="5"/>
        <v>0</v>
      </c>
    </row>
    <row r="127" ht="28.8" spans="1:10">
      <c r="A127" s="12"/>
      <c r="B127" s="12"/>
      <c r="C127" s="13" t="s">
        <v>682</v>
      </c>
      <c r="D127" s="14" t="s">
        <v>20</v>
      </c>
      <c r="E127" s="14" t="s">
        <v>47</v>
      </c>
      <c r="F127" s="13" t="s">
        <v>50</v>
      </c>
      <c r="G127" s="12" t="s">
        <v>49</v>
      </c>
      <c r="H127" s="15"/>
      <c r="I127" s="15"/>
      <c r="J127" s="15">
        <f t="shared" si="5"/>
        <v>0</v>
      </c>
    </row>
    <row r="128" ht="28.8" spans="1:10">
      <c r="A128" s="12"/>
      <c r="B128" s="12"/>
      <c r="C128" s="13" t="s">
        <v>682</v>
      </c>
      <c r="D128" s="14" t="s">
        <v>20</v>
      </c>
      <c r="E128" s="14" t="s">
        <v>61</v>
      </c>
      <c r="F128" s="13" t="s">
        <v>78</v>
      </c>
      <c r="G128" s="12" t="s">
        <v>49</v>
      </c>
      <c r="H128" s="15"/>
      <c r="I128" s="15"/>
      <c r="J128" s="15">
        <f t="shared" si="5"/>
        <v>0</v>
      </c>
    </row>
    <row r="129" ht="28.8" spans="1:10">
      <c r="A129" s="12"/>
      <c r="B129" s="12"/>
      <c r="C129" s="13" t="s">
        <v>682</v>
      </c>
      <c r="D129" s="14" t="s">
        <v>20</v>
      </c>
      <c r="E129" s="14" t="s">
        <v>61</v>
      </c>
      <c r="F129" s="13" t="s">
        <v>607</v>
      </c>
      <c r="G129" s="12" t="s">
        <v>23</v>
      </c>
      <c r="H129" s="15"/>
      <c r="I129" s="15"/>
      <c r="J129" s="15">
        <f t="shared" si="5"/>
        <v>0</v>
      </c>
    </row>
    <row r="130" ht="28.8" spans="1:10">
      <c r="A130" s="12"/>
      <c r="B130" s="12"/>
      <c r="C130" s="13" t="s">
        <v>682</v>
      </c>
      <c r="D130" s="14" t="s">
        <v>20</v>
      </c>
      <c r="E130" s="14" t="s">
        <v>84</v>
      </c>
      <c r="F130" s="13" t="s">
        <v>86</v>
      </c>
      <c r="G130" s="12" t="s">
        <v>49</v>
      </c>
      <c r="H130" s="15"/>
      <c r="I130" s="15"/>
      <c r="J130" s="15">
        <f t="shared" si="5"/>
        <v>0</v>
      </c>
    </row>
    <row r="131" ht="28.8" spans="1:10">
      <c r="A131" s="12"/>
      <c r="B131" s="12"/>
      <c r="C131" s="13" t="s">
        <v>682</v>
      </c>
      <c r="D131" s="14" t="s">
        <v>20</v>
      </c>
      <c r="E131" s="14" t="s">
        <v>84</v>
      </c>
      <c r="F131" s="13" t="s">
        <v>88</v>
      </c>
      <c r="G131" s="12" t="s">
        <v>49</v>
      </c>
      <c r="H131" s="15"/>
      <c r="I131" s="15"/>
      <c r="J131" s="15">
        <f t="shared" si="5"/>
        <v>0</v>
      </c>
    </row>
    <row r="132" ht="28.8" spans="1:10">
      <c r="A132" s="12"/>
      <c r="B132" s="12"/>
      <c r="C132" s="13" t="s">
        <v>682</v>
      </c>
      <c r="D132" s="14" t="s">
        <v>20</v>
      </c>
      <c r="E132" s="14" t="s">
        <v>84</v>
      </c>
      <c r="F132" s="13" t="s">
        <v>89</v>
      </c>
      <c r="G132" s="12" t="s">
        <v>49</v>
      </c>
      <c r="H132" s="15"/>
      <c r="I132" s="15"/>
      <c r="J132" s="15">
        <f t="shared" si="5"/>
        <v>0</v>
      </c>
    </row>
    <row r="133" ht="28.8" spans="1:10">
      <c r="A133" s="12"/>
      <c r="B133" s="12"/>
      <c r="C133" s="13" t="s">
        <v>682</v>
      </c>
      <c r="D133" s="14" t="s">
        <v>20</v>
      </c>
      <c r="E133" s="14" t="s">
        <v>84</v>
      </c>
      <c r="F133" s="13" t="s">
        <v>608</v>
      </c>
      <c r="G133" s="12" t="s">
        <v>100</v>
      </c>
      <c r="H133" s="15"/>
      <c r="I133" s="15"/>
      <c r="J133" s="15">
        <f t="shared" si="5"/>
        <v>0</v>
      </c>
    </row>
    <row r="134" ht="28.8" spans="1:10">
      <c r="A134" s="12"/>
      <c r="B134" s="12"/>
      <c r="C134" s="13" t="s">
        <v>682</v>
      </c>
      <c r="D134" s="14" t="s">
        <v>20</v>
      </c>
      <c r="E134" s="14" t="s">
        <v>84</v>
      </c>
      <c r="F134" s="13" t="s">
        <v>609</v>
      </c>
      <c r="G134" s="12" t="s">
        <v>63</v>
      </c>
      <c r="H134" s="15"/>
      <c r="I134" s="15"/>
      <c r="J134" s="15">
        <f t="shared" si="5"/>
        <v>0</v>
      </c>
    </row>
    <row r="135" ht="28.8" spans="1:10">
      <c r="A135" s="12"/>
      <c r="B135" s="12"/>
      <c r="C135" s="13" t="s">
        <v>682</v>
      </c>
      <c r="D135" s="14" t="s">
        <v>20</v>
      </c>
      <c r="E135" s="14" t="s">
        <v>84</v>
      </c>
      <c r="F135" s="13" t="s">
        <v>683</v>
      </c>
      <c r="G135" s="12" t="s">
        <v>611</v>
      </c>
      <c r="H135" s="15"/>
      <c r="I135" s="15"/>
      <c r="J135" s="15">
        <f t="shared" si="5"/>
        <v>0</v>
      </c>
    </row>
    <row r="136" ht="28.8" spans="1:10">
      <c r="A136" s="12"/>
      <c r="B136" s="12"/>
      <c r="C136" s="13" t="s">
        <v>682</v>
      </c>
      <c r="D136" s="14" t="s">
        <v>20</v>
      </c>
      <c r="E136" s="14" t="s">
        <v>84</v>
      </c>
      <c r="F136" s="13" t="s">
        <v>610</v>
      </c>
      <c r="G136" s="12" t="s">
        <v>611</v>
      </c>
      <c r="H136" s="15"/>
      <c r="I136" s="15"/>
      <c r="J136" s="15">
        <f t="shared" si="5"/>
        <v>0</v>
      </c>
    </row>
    <row r="137" ht="28.8" spans="1:10">
      <c r="A137" s="12"/>
      <c r="B137" s="12"/>
      <c r="C137" s="13" t="s">
        <v>682</v>
      </c>
      <c r="D137" s="14" t="s">
        <v>20</v>
      </c>
      <c r="E137" s="14" t="s">
        <v>84</v>
      </c>
      <c r="F137" s="13" t="s">
        <v>612</v>
      </c>
      <c r="G137" s="12" t="s">
        <v>611</v>
      </c>
      <c r="H137" s="15"/>
      <c r="I137" s="15"/>
      <c r="J137" s="15">
        <f t="shared" si="5"/>
        <v>0</v>
      </c>
    </row>
    <row r="138" ht="28.8" spans="1:10">
      <c r="A138" s="12"/>
      <c r="B138" s="12"/>
      <c r="C138" s="13" t="s">
        <v>682</v>
      </c>
      <c r="D138" s="14" t="s">
        <v>20</v>
      </c>
      <c r="E138" s="14" t="s">
        <v>84</v>
      </c>
      <c r="F138" s="13" t="s">
        <v>684</v>
      </c>
      <c r="G138" s="12" t="s">
        <v>23</v>
      </c>
      <c r="H138" s="15"/>
      <c r="I138" s="15"/>
      <c r="J138" s="15">
        <f t="shared" si="5"/>
        <v>0</v>
      </c>
    </row>
    <row r="139" ht="28.8" spans="1:10">
      <c r="A139" s="12"/>
      <c r="B139" s="12"/>
      <c r="C139" s="13" t="s">
        <v>682</v>
      </c>
      <c r="D139" s="14" t="s">
        <v>11</v>
      </c>
      <c r="E139" s="14" t="s">
        <v>613</v>
      </c>
      <c r="F139" s="13" t="s">
        <v>614</v>
      </c>
      <c r="G139" s="12" t="s">
        <v>108</v>
      </c>
      <c r="H139" s="15"/>
      <c r="I139" s="15"/>
      <c r="J139" s="15">
        <f t="shared" si="5"/>
        <v>0</v>
      </c>
    </row>
    <row r="140" ht="28.8" spans="1:10">
      <c r="A140" s="12"/>
      <c r="B140" s="12"/>
      <c r="C140" s="13" t="s">
        <v>682</v>
      </c>
      <c r="D140" s="14" t="s">
        <v>11</v>
      </c>
      <c r="E140" s="14" t="s">
        <v>613</v>
      </c>
      <c r="F140" s="13" t="s">
        <v>615</v>
      </c>
      <c r="G140" s="12" t="s">
        <v>108</v>
      </c>
      <c r="H140" s="15"/>
      <c r="I140" s="15"/>
      <c r="J140" s="15">
        <f t="shared" si="5"/>
        <v>0</v>
      </c>
    </row>
    <row r="141" spans="1:10">
      <c r="A141" s="12"/>
      <c r="B141" s="12"/>
      <c r="C141" s="13"/>
      <c r="D141" s="14"/>
      <c r="E141" s="14"/>
      <c r="F141" s="13"/>
      <c r="G141" s="12"/>
      <c r="H141" s="15"/>
      <c r="I141" s="15"/>
      <c r="J141" s="15"/>
    </row>
    <row r="142" ht="28.8" spans="1:10">
      <c r="A142" s="12"/>
      <c r="B142" s="12"/>
      <c r="C142" s="13" t="s">
        <v>706</v>
      </c>
      <c r="D142" s="14" t="s">
        <v>20</v>
      </c>
      <c r="E142" s="14" t="s">
        <v>47</v>
      </c>
      <c r="F142" s="13" t="s">
        <v>48</v>
      </c>
      <c r="G142" s="12" t="s">
        <v>49</v>
      </c>
      <c r="H142" s="15"/>
      <c r="I142" s="15"/>
      <c r="J142" s="15">
        <f t="shared" ref="J142:J205" si="6">+ROUND(PRODUCT(H142*I142),0)</f>
        <v>0</v>
      </c>
    </row>
    <row r="143" ht="28.8" spans="1:10">
      <c r="A143" s="12"/>
      <c r="B143" s="12"/>
      <c r="C143" s="13" t="s">
        <v>706</v>
      </c>
      <c r="D143" s="14" t="s">
        <v>20</v>
      </c>
      <c r="E143" s="14" t="s">
        <v>624</v>
      </c>
      <c r="F143" s="13" t="s">
        <v>625</v>
      </c>
      <c r="G143" s="12" t="s">
        <v>23</v>
      </c>
      <c r="H143" s="15"/>
      <c r="I143" s="15"/>
      <c r="J143" s="15">
        <f t="shared" si="6"/>
        <v>0</v>
      </c>
    </row>
    <row r="144" ht="28.8" spans="1:10">
      <c r="A144" s="12"/>
      <c r="B144" s="12"/>
      <c r="C144" s="13" t="s">
        <v>706</v>
      </c>
      <c r="D144" s="14" t="s">
        <v>20</v>
      </c>
      <c r="E144" s="14" t="s">
        <v>624</v>
      </c>
      <c r="F144" s="13" t="s">
        <v>626</v>
      </c>
      <c r="G144" s="12" t="s">
        <v>23</v>
      </c>
      <c r="H144" s="15"/>
      <c r="I144" s="15"/>
      <c r="J144" s="15">
        <f t="shared" si="6"/>
        <v>0</v>
      </c>
    </row>
    <row r="145" ht="28.8" spans="1:10">
      <c r="A145" s="12"/>
      <c r="B145" s="12"/>
      <c r="C145" s="13" t="s">
        <v>706</v>
      </c>
      <c r="D145" s="14" t="s">
        <v>20</v>
      </c>
      <c r="E145" s="14" t="s">
        <v>624</v>
      </c>
      <c r="F145" s="13" t="s">
        <v>627</v>
      </c>
      <c r="G145" s="12" t="s">
        <v>23</v>
      </c>
      <c r="H145" s="15"/>
      <c r="I145" s="15"/>
      <c r="J145" s="15">
        <f t="shared" si="6"/>
        <v>0</v>
      </c>
    </row>
    <row r="146" ht="28.8" spans="1:10">
      <c r="A146" s="12"/>
      <c r="B146" s="12"/>
      <c r="C146" s="13" t="s">
        <v>706</v>
      </c>
      <c r="D146" s="14" t="s">
        <v>20</v>
      </c>
      <c r="E146" s="14" t="s">
        <v>624</v>
      </c>
      <c r="F146" s="13" t="s">
        <v>628</v>
      </c>
      <c r="G146" s="12" t="s">
        <v>23</v>
      </c>
      <c r="H146" s="15"/>
      <c r="I146" s="15"/>
      <c r="J146" s="15">
        <f t="shared" si="6"/>
        <v>0</v>
      </c>
    </row>
    <row r="147" ht="28.8" spans="1:10">
      <c r="A147" s="12"/>
      <c r="B147" s="12"/>
      <c r="C147" s="13" t="s">
        <v>706</v>
      </c>
      <c r="D147" s="14" t="s">
        <v>20</v>
      </c>
      <c r="E147" s="14" t="s">
        <v>624</v>
      </c>
      <c r="F147" s="13" t="s">
        <v>629</v>
      </c>
      <c r="G147" s="12" t="s">
        <v>23</v>
      </c>
      <c r="H147" s="15"/>
      <c r="I147" s="15"/>
      <c r="J147" s="15">
        <f t="shared" si="6"/>
        <v>0</v>
      </c>
    </row>
    <row r="148" ht="28.8" spans="1:10">
      <c r="A148" s="12"/>
      <c r="B148" s="12"/>
      <c r="C148" s="13" t="s">
        <v>706</v>
      </c>
      <c r="D148" s="14" t="s">
        <v>11</v>
      </c>
      <c r="E148" s="14" t="s">
        <v>630</v>
      </c>
      <c r="F148" s="13" t="s">
        <v>631</v>
      </c>
      <c r="G148" s="12" t="s">
        <v>17</v>
      </c>
      <c r="H148" s="15"/>
      <c r="I148" s="15"/>
      <c r="J148" s="15">
        <f t="shared" si="6"/>
        <v>0</v>
      </c>
    </row>
    <row r="149" ht="28.8" spans="1:10">
      <c r="A149" s="12"/>
      <c r="B149" s="12"/>
      <c r="C149" s="13" t="s">
        <v>710</v>
      </c>
      <c r="D149" s="14" t="s">
        <v>11</v>
      </c>
      <c r="E149" s="14" t="s">
        <v>634</v>
      </c>
      <c r="F149" s="13" t="s">
        <v>635</v>
      </c>
      <c r="G149" s="12" t="s">
        <v>23</v>
      </c>
      <c r="H149" s="15"/>
      <c r="I149" s="15"/>
      <c r="J149" s="15">
        <f t="shared" si="6"/>
        <v>0</v>
      </c>
    </row>
    <row r="150" ht="28.8" spans="1:10">
      <c r="A150" s="12"/>
      <c r="B150" s="12"/>
      <c r="C150" s="13" t="s">
        <v>710</v>
      </c>
      <c r="D150" s="14" t="s">
        <v>20</v>
      </c>
      <c r="E150" s="14" t="s">
        <v>636</v>
      </c>
      <c r="F150" s="13" t="s">
        <v>637</v>
      </c>
      <c r="G150" s="12" t="s">
        <v>23</v>
      </c>
      <c r="H150" s="15"/>
      <c r="I150" s="15"/>
      <c r="J150" s="15">
        <f t="shared" si="6"/>
        <v>0</v>
      </c>
    </row>
    <row r="151" ht="28.8" spans="1:10">
      <c r="A151" s="12"/>
      <c r="B151" s="12"/>
      <c r="C151" s="13" t="s">
        <v>714</v>
      </c>
      <c r="D151" s="14" t="s">
        <v>11</v>
      </c>
      <c r="E151" s="14" t="s">
        <v>634</v>
      </c>
      <c r="F151" s="13" t="s">
        <v>640</v>
      </c>
      <c r="G151" s="12" t="s">
        <v>23</v>
      </c>
      <c r="H151" s="15"/>
      <c r="I151" s="15"/>
      <c r="J151" s="15">
        <f t="shared" si="6"/>
        <v>0</v>
      </c>
    </row>
    <row r="152" ht="28.8" spans="1:10">
      <c r="A152" s="12"/>
      <c r="B152" s="12"/>
      <c r="C152" s="13" t="s">
        <v>714</v>
      </c>
      <c r="D152" s="14" t="s">
        <v>20</v>
      </c>
      <c r="E152" s="14" t="s">
        <v>636</v>
      </c>
      <c r="F152" s="13" t="s">
        <v>641</v>
      </c>
      <c r="G152" s="12" t="s">
        <v>23</v>
      </c>
      <c r="H152" s="15"/>
      <c r="I152" s="15"/>
      <c r="J152" s="15">
        <f t="shared" si="6"/>
        <v>0</v>
      </c>
    </row>
    <row r="153" ht="28.8" spans="1:10">
      <c r="A153" s="12"/>
      <c r="B153" s="12"/>
      <c r="C153" s="13" t="s">
        <v>722</v>
      </c>
      <c r="D153" s="14" t="s">
        <v>11</v>
      </c>
      <c r="E153" s="14" t="s">
        <v>634</v>
      </c>
      <c r="F153" s="13" t="s">
        <v>635</v>
      </c>
      <c r="G153" s="12" t="s">
        <v>23</v>
      </c>
      <c r="H153" s="15"/>
      <c r="I153" s="15"/>
      <c r="J153" s="15">
        <f t="shared" si="6"/>
        <v>0</v>
      </c>
    </row>
    <row r="154" ht="28.8" spans="1:10">
      <c r="A154" s="12"/>
      <c r="B154" s="12"/>
      <c r="C154" s="13" t="s">
        <v>722</v>
      </c>
      <c r="D154" s="14" t="s">
        <v>11</v>
      </c>
      <c r="E154" s="14" t="s">
        <v>634</v>
      </c>
      <c r="F154" s="13" t="s">
        <v>640</v>
      </c>
      <c r="G154" s="12" t="s">
        <v>23</v>
      </c>
      <c r="H154" s="15"/>
      <c r="I154" s="15"/>
      <c r="J154" s="15">
        <f t="shared" si="6"/>
        <v>0</v>
      </c>
    </row>
    <row r="155" ht="28.8" spans="1:10">
      <c r="A155" s="12"/>
      <c r="B155" s="12"/>
      <c r="C155" s="13" t="s">
        <v>722</v>
      </c>
      <c r="D155" s="14" t="s">
        <v>20</v>
      </c>
      <c r="E155" s="14" t="s">
        <v>636</v>
      </c>
      <c r="F155" s="13" t="s">
        <v>647</v>
      </c>
      <c r="G155" s="12" t="s">
        <v>23</v>
      </c>
      <c r="H155" s="15"/>
      <c r="I155" s="15"/>
      <c r="J155" s="15">
        <f t="shared" si="6"/>
        <v>0</v>
      </c>
    </row>
    <row r="156" ht="28.8" spans="1:10">
      <c r="A156" s="12"/>
      <c r="B156" s="12"/>
      <c r="C156" s="13" t="s">
        <v>726</v>
      </c>
      <c r="D156" s="14" t="s">
        <v>11</v>
      </c>
      <c r="E156" s="14" t="s">
        <v>634</v>
      </c>
      <c r="F156" s="13" t="s">
        <v>640</v>
      </c>
      <c r="G156" s="12" t="s">
        <v>23</v>
      </c>
      <c r="H156" s="15"/>
      <c r="I156" s="15"/>
      <c r="J156" s="15">
        <f t="shared" si="6"/>
        <v>0</v>
      </c>
    </row>
    <row r="157" ht="28.8" spans="1:10">
      <c r="A157" s="12"/>
      <c r="B157" s="12"/>
      <c r="C157" s="13" t="s">
        <v>726</v>
      </c>
      <c r="D157" s="14" t="s">
        <v>11</v>
      </c>
      <c r="E157" s="14" t="s">
        <v>634</v>
      </c>
      <c r="F157" s="13" t="s">
        <v>650</v>
      </c>
      <c r="G157" s="12" t="s">
        <v>23</v>
      </c>
      <c r="H157" s="15"/>
      <c r="I157" s="15"/>
      <c r="J157" s="15">
        <f t="shared" si="6"/>
        <v>0</v>
      </c>
    </row>
    <row r="158" ht="28.8" spans="1:10">
      <c r="A158" s="12"/>
      <c r="B158" s="12"/>
      <c r="C158" s="13" t="s">
        <v>726</v>
      </c>
      <c r="D158" s="14" t="s">
        <v>20</v>
      </c>
      <c r="E158" s="14" t="s">
        <v>636</v>
      </c>
      <c r="F158" s="13" t="s">
        <v>651</v>
      </c>
      <c r="G158" s="12" t="s">
        <v>23</v>
      </c>
      <c r="H158" s="15"/>
      <c r="I158" s="15"/>
      <c r="J158" s="15">
        <f t="shared" si="6"/>
        <v>0</v>
      </c>
    </row>
    <row r="159" ht="28.8" spans="1:10">
      <c r="A159" s="12"/>
      <c r="B159" s="12"/>
      <c r="C159" s="13" t="s">
        <v>730</v>
      </c>
      <c r="D159" s="14" t="s">
        <v>11</v>
      </c>
      <c r="E159" s="14" t="s">
        <v>634</v>
      </c>
      <c r="F159" s="13" t="s">
        <v>635</v>
      </c>
      <c r="G159" s="12" t="s">
        <v>23</v>
      </c>
      <c r="H159" s="15"/>
      <c r="I159" s="15"/>
      <c r="J159" s="15">
        <f t="shared" si="6"/>
        <v>0</v>
      </c>
    </row>
    <row r="160" ht="28.8" spans="1:10">
      <c r="A160" s="12"/>
      <c r="B160" s="12"/>
      <c r="C160" s="13" t="s">
        <v>730</v>
      </c>
      <c r="D160" s="14" t="s">
        <v>11</v>
      </c>
      <c r="E160" s="14" t="s">
        <v>634</v>
      </c>
      <c r="F160" s="13" t="s">
        <v>650</v>
      </c>
      <c r="G160" s="12" t="s">
        <v>23</v>
      </c>
      <c r="H160" s="15"/>
      <c r="I160" s="15"/>
      <c r="J160" s="15">
        <f t="shared" si="6"/>
        <v>0</v>
      </c>
    </row>
    <row r="161" ht="28.8" spans="1:10">
      <c r="A161" s="12"/>
      <c r="B161" s="12"/>
      <c r="C161" s="13" t="s">
        <v>730</v>
      </c>
      <c r="D161" s="14" t="s">
        <v>20</v>
      </c>
      <c r="E161" s="14" t="s">
        <v>636</v>
      </c>
      <c r="F161" s="13" t="s">
        <v>654</v>
      </c>
      <c r="G161" s="12" t="s">
        <v>23</v>
      </c>
      <c r="H161" s="15"/>
      <c r="I161" s="15"/>
      <c r="J161" s="15">
        <f t="shared" si="6"/>
        <v>0</v>
      </c>
    </row>
    <row r="162" ht="28.8" spans="1:10">
      <c r="A162" s="12"/>
      <c r="B162" s="12"/>
      <c r="C162" s="13" t="s">
        <v>769</v>
      </c>
      <c r="D162" s="14" t="s">
        <v>11</v>
      </c>
      <c r="E162" s="14" t="s">
        <v>12</v>
      </c>
      <c r="F162" s="13" t="s">
        <v>13</v>
      </c>
      <c r="G162" s="12" t="s">
        <v>14</v>
      </c>
      <c r="H162" s="15"/>
      <c r="I162" s="15"/>
      <c r="J162" s="15">
        <f t="shared" si="6"/>
        <v>0</v>
      </c>
    </row>
    <row r="163" ht="28.8" spans="1:10">
      <c r="A163" s="12"/>
      <c r="B163" s="12"/>
      <c r="C163" s="13" t="s">
        <v>769</v>
      </c>
      <c r="D163" s="14" t="s">
        <v>11</v>
      </c>
      <c r="E163" s="14" t="s">
        <v>12</v>
      </c>
      <c r="F163" s="13" t="s">
        <v>15</v>
      </c>
      <c r="G163" s="12" t="s">
        <v>14</v>
      </c>
      <c r="H163" s="15"/>
      <c r="I163" s="15"/>
      <c r="J163" s="15">
        <f t="shared" si="6"/>
        <v>0</v>
      </c>
    </row>
    <row r="164" ht="28.8" spans="1:10">
      <c r="A164" s="12"/>
      <c r="B164" s="12"/>
      <c r="C164" s="13" t="s">
        <v>769</v>
      </c>
      <c r="D164" s="14" t="s">
        <v>11</v>
      </c>
      <c r="E164" s="14" t="s">
        <v>12</v>
      </c>
      <c r="F164" s="13" t="s">
        <v>28</v>
      </c>
      <c r="G164" s="12" t="s">
        <v>14</v>
      </c>
      <c r="H164" s="15"/>
      <c r="I164" s="15"/>
      <c r="J164" s="15">
        <f t="shared" si="6"/>
        <v>0</v>
      </c>
    </row>
    <row r="165" ht="28.8" spans="1:10">
      <c r="A165" s="12"/>
      <c r="B165" s="12"/>
      <c r="C165" s="13" t="s">
        <v>769</v>
      </c>
      <c r="D165" s="14" t="s">
        <v>20</v>
      </c>
      <c r="E165" s="14" t="s">
        <v>106</v>
      </c>
      <c r="F165" s="13" t="s">
        <v>107</v>
      </c>
      <c r="G165" s="12" t="s">
        <v>108</v>
      </c>
      <c r="H165" s="15"/>
      <c r="I165" s="15"/>
      <c r="J165" s="15">
        <f t="shared" si="6"/>
        <v>0</v>
      </c>
    </row>
    <row r="166" ht="28.8" spans="1:10">
      <c r="A166" s="12"/>
      <c r="B166" s="12"/>
      <c r="C166" s="13" t="s">
        <v>769</v>
      </c>
      <c r="D166" s="14" t="s">
        <v>20</v>
      </c>
      <c r="E166" s="14" t="s">
        <v>596</v>
      </c>
      <c r="F166" s="13" t="s">
        <v>597</v>
      </c>
      <c r="G166" s="12" t="s">
        <v>46</v>
      </c>
      <c r="H166" s="15"/>
      <c r="I166" s="15"/>
      <c r="J166" s="15">
        <f t="shared" si="6"/>
        <v>0</v>
      </c>
    </row>
    <row r="167" ht="28.8" spans="1:10">
      <c r="A167" s="12"/>
      <c r="B167" s="12"/>
      <c r="C167" s="13" t="s">
        <v>771</v>
      </c>
      <c r="D167" s="14" t="s">
        <v>11</v>
      </c>
      <c r="E167" s="14" t="s">
        <v>24</v>
      </c>
      <c r="F167" s="13" t="s">
        <v>604</v>
      </c>
      <c r="G167" s="12" t="s">
        <v>34</v>
      </c>
      <c r="H167" s="15"/>
      <c r="I167" s="15"/>
      <c r="J167" s="15">
        <f t="shared" si="6"/>
        <v>0</v>
      </c>
    </row>
    <row r="168" ht="28.8" spans="1:10">
      <c r="A168" s="12"/>
      <c r="B168" s="12"/>
      <c r="C168" s="13" t="s">
        <v>771</v>
      </c>
      <c r="D168" s="14" t="s">
        <v>11</v>
      </c>
      <c r="E168" s="14" t="s">
        <v>24</v>
      </c>
      <c r="F168" s="13" t="s">
        <v>605</v>
      </c>
      <c r="G168" s="12" t="s">
        <v>34</v>
      </c>
      <c r="H168" s="15"/>
      <c r="I168" s="15"/>
      <c r="J168" s="15">
        <f t="shared" si="6"/>
        <v>0</v>
      </c>
    </row>
    <row r="169" ht="28.8" spans="1:10">
      <c r="A169" s="12"/>
      <c r="B169" s="12"/>
      <c r="C169" s="13" t="s">
        <v>771</v>
      </c>
      <c r="D169" s="14" t="s">
        <v>11</v>
      </c>
      <c r="E169" s="14" t="s">
        <v>24</v>
      </c>
      <c r="F169" s="13" t="s">
        <v>606</v>
      </c>
      <c r="G169" s="12" t="s">
        <v>34</v>
      </c>
      <c r="H169" s="15"/>
      <c r="I169" s="15"/>
      <c r="J169" s="15">
        <f t="shared" si="6"/>
        <v>0</v>
      </c>
    </row>
    <row r="170" ht="28.8" spans="1:10">
      <c r="A170" s="12"/>
      <c r="B170" s="12"/>
      <c r="C170" s="13" t="s">
        <v>771</v>
      </c>
      <c r="D170" s="14" t="s">
        <v>20</v>
      </c>
      <c r="E170" s="14" t="s">
        <v>47</v>
      </c>
      <c r="F170" s="13" t="s">
        <v>50</v>
      </c>
      <c r="G170" s="12" t="s">
        <v>49</v>
      </c>
      <c r="H170" s="15"/>
      <c r="I170" s="15"/>
      <c r="J170" s="15">
        <f t="shared" si="6"/>
        <v>0</v>
      </c>
    </row>
    <row r="171" ht="28.8" spans="1:10">
      <c r="A171" s="12"/>
      <c r="B171" s="12"/>
      <c r="C171" s="13" t="s">
        <v>771</v>
      </c>
      <c r="D171" s="14" t="s">
        <v>20</v>
      </c>
      <c r="E171" s="14" t="s">
        <v>61</v>
      </c>
      <c r="F171" s="13" t="s">
        <v>78</v>
      </c>
      <c r="G171" s="12" t="s">
        <v>49</v>
      </c>
      <c r="H171" s="15"/>
      <c r="I171" s="15"/>
      <c r="J171" s="15">
        <f t="shared" si="6"/>
        <v>0</v>
      </c>
    </row>
    <row r="172" ht="28.8" spans="1:10">
      <c r="A172" s="12"/>
      <c r="B172" s="12"/>
      <c r="C172" s="13" t="s">
        <v>771</v>
      </c>
      <c r="D172" s="14" t="s">
        <v>20</v>
      </c>
      <c r="E172" s="14" t="s">
        <v>61</v>
      </c>
      <c r="F172" s="13" t="s">
        <v>607</v>
      </c>
      <c r="G172" s="12" t="s">
        <v>23</v>
      </c>
      <c r="H172" s="15"/>
      <c r="I172" s="15"/>
      <c r="J172" s="15">
        <f t="shared" si="6"/>
        <v>0</v>
      </c>
    </row>
    <row r="173" ht="28.8" spans="1:10">
      <c r="A173" s="12"/>
      <c r="B173" s="12"/>
      <c r="C173" s="13" t="s">
        <v>771</v>
      </c>
      <c r="D173" s="14" t="s">
        <v>20</v>
      </c>
      <c r="E173" s="14" t="s">
        <v>84</v>
      </c>
      <c r="F173" s="13" t="s">
        <v>86</v>
      </c>
      <c r="G173" s="12" t="s">
        <v>49</v>
      </c>
      <c r="H173" s="15"/>
      <c r="I173" s="15"/>
      <c r="J173" s="15">
        <f t="shared" si="6"/>
        <v>0</v>
      </c>
    </row>
    <row r="174" ht="28.8" spans="1:10">
      <c r="A174" s="12"/>
      <c r="B174" s="12"/>
      <c r="C174" s="13" t="s">
        <v>771</v>
      </c>
      <c r="D174" s="14" t="s">
        <v>20</v>
      </c>
      <c r="E174" s="14" t="s">
        <v>84</v>
      </c>
      <c r="F174" s="13" t="s">
        <v>88</v>
      </c>
      <c r="G174" s="12" t="s">
        <v>49</v>
      </c>
      <c r="H174" s="15"/>
      <c r="I174" s="15"/>
      <c r="J174" s="15">
        <f t="shared" si="6"/>
        <v>0</v>
      </c>
    </row>
    <row r="175" ht="28.8" spans="1:10">
      <c r="A175" s="12"/>
      <c r="B175" s="12"/>
      <c r="C175" s="13" t="s">
        <v>771</v>
      </c>
      <c r="D175" s="14" t="s">
        <v>20</v>
      </c>
      <c r="E175" s="14" t="s">
        <v>84</v>
      </c>
      <c r="F175" s="13" t="s">
        <v>89</v>
      </c>
      <c r="G175" s="12" t="s">
        <v>49</v>
      </c>
      <c r="H175" s="15"/>
      <c r="I175" s="15"/>
      <c r="J175" s="15">
        <f t="shared" si="6"/>
        <v>0</v>
      </c>
    </row>
    <row r="176" ht="28.8" spans="1:10">
      <c r="A176" s="12"/>
      <c r="B176" s="12"/>
      <c r="C176" s="13" t="s">
        <v>771</v>
      </c>
      <c r="D176" s="14" t="s">
        <v>20</v>
      </c>
      <c r="E176" s="14" t="s">
        <v>84</v>
      </c>
      <c r="F176" s="13" t="s">
        <v>608</v>
      </c>
      <c r="G176" s="12" t="s">
        <v>100</v>
      </c>
      <c r="H176" s="15"/>
      <c r="I176" s="15"/>
      <c r="J176" s="15">
        <f t="shared" si="6"/>
        <v>0</v>
      </c>
    </row>
    <row r="177" ht="28.8" spans="1:10">
      <c r="A177" s="12"/>
      <c r="B177" s="12"/>
      <c r="C177" s="13" t="s">
        <v>771</v>
      </c>
      <c r="D177" s="14" t="s">
        <v>20</v>
      </c>
      <c r="E177" s="14" t="s">
        <v>84</v>
      </c>
      <c r="F177" s="13" t="s">
        <v>609</v>
      </c>
      <c r="G177" s="12" t="s">
        <v>63</v>
      </c>
      <c r="H177" s="15"/>
      <c r="I177" s="15"/>
      <c r="J177" s="15">
        <f t="shared" si="6"/>
        <v>0</v>
      </c>
    </row>
    <row r="178" ht="28.8" spans="1:10">
      <c r="A178" s="12"/>
      <c r="B178" s="12"/>
      <c r="C178" s="13" t="s">
        <v>771</v>
      </c>
      <c r="D178" s="14" t="s">
        <v>20</v>
      </c>
      <c r="E178" s="14" t="s">
        <v>84</v>
      </c>
      <c r="F178" s="13" t="s">
        <v>610</v>
      </c>
      <c r="G178" s="12" t="s">
        <v>611</v>
      </c>
      <c r="H178" s="15"/>
      <c r="I178" s="15"/>
      <c r="J178" s="15">
        <f t="shared" si="6"/>
        <v>0</v>
      </c>
    </row>
    <row r="179" ht="28.8" spans="1:10">
      <c r="A179" s="12"/>
      <c r="B179" s="12"/>
      <c r="C179" s="13" t="s">
        <v>771</v>
      </c>
      <c r="D179" s="14" t="s">
        <v>20</v>
      </c>
      <c r="E179" s="14" t="s">
        <v>84</v>
      </c>
      <c r="F179" s="13" t="s">
        <v>612</v>
      </c>
      <c r="G179" s="12" t="s">
        <v>611</v>
      </c>
      <c r="H179" s="15"/>
      <c r="I179" s="15"/>
      <c r="J179" s="15">
        <f t="shared" si="6"/>
        <v>0</v>
      </c>
    </row>
    <row r="180" ht="28.8" spans="1:10">
      <c r="A180" s="12"/>
      <c r="B180" s="12"/>
      <c r="C180" s="13" t="s">
        <v>773</v>
      </c>
      <c r="D180" s="14" t="s">
        <v>20</v>
      </c>
      <c r="E180" s="14" t="s">
        <v>47</v>
      </c>
      <c r="F180" s="13" t="s">
        <v>48</v>
      </c>
      <c r="G180" s="12" t="s">
        <v>49</v>
      </c>
      <c r="H180" s="15"/>
      <c r="I180" s="15"/>
      <c r="J180" s="15">
        <f t="shared" si="6"/>
        <v>0</v>
      </c>
    </row>
    <row r="181" ht="28.8" spans="1:10">
      <c r="A181" s="12"/>
      <c r="B181" s="12"/>
      <c r="C181" s="13" t="s">
        <v>773</v>
      </c>
      <c r="D181" s="14" t="s">
        <v>20</v>
      </c>
      <c r="E181" s="14" t="s">
        <v>624</v>
      </c>
      <c r="F181" s="13" t="s">
        <v>625</v>
      </c>
      <c r="G181" s="12" t="s">
        <v>23</v>
      </c>
      <c r="H181" s="15"/>
      <c r="I181" s="15"/>
      <c r="J181" s="15">
        <f t="shared" si="6"/>
        <v>0</v>
      </c>
    </row>
    <row r="182" ht="28.8" spans="1:10">
      <c r="A182" s="12"/>
      <c r="B182" s="12"/>
      <c r="C182" s="13" t="s">
        <v>773</v>
      </c>
      <c r="D182" s="14" t="s">
        <v>20</v>
      </c>
      <c r="E182" s="14" t="s">
        <v>624</v>
      </c>
      <c r="F182" s="13" t="s">
        <v>626</v>
      </c>
      <c r="G182" s="12" t="s">
        <v>23</v>
      </c>
      <c r="H182" s="15"/>
      <c r="I182" s="15"/>
      <c r="J182" s="15">
        <f t="shared" si="6"/>
        <v>0</v>
      </c>
    </row>
    <row r="183" ht="28.8" spans="1:10">
      <c r="A183" s="12"/>
      <c r="B183" s="12"/>
      <c r="C183" s="13" t="s">
        <v>773</v>
      </c>
      <c r="D183" s="14" t="s">
        <v>20</v>
      </c>
      <c r="E183" s="14" t="s">
        <v>624</v>
      </c>
      <c r="F183" s="13" t="s">
        <v>627</v>
      </c>
      <c r="G183" s="12" t="s">
        <v>23</v>
      </c>
      <c r="H183" s="15"/>
      <c r="I183" s="15"/>
      <c r="J183" s="15">
        <f t="shared" si="6"/>
        <v>0</v>
      </c>
    </row>
    <row r="184" ht="28.8" spans="1:10">
      <c r="A184" s="12"/>
      <c r="B184" s="12"/>
      <c r="C184" s="13" t="s">
        <v>773</v>
      </c>
      <c r="D184" s="14" t="s">
        <v>20</v>
      </c>
      <c r="E184" s="14" t="s">
        <v>624</v>
      </c>
      <c r="F184" s="13" t="s">
        <v>628</v>
      </c>
      <c r="G184" s="12" t="s">
        <v>23</v>
      </c>
      <c r="H184" s="15"/>
      <c r="I184" s="15"/>
      <c r="J184" s="15">
        <f t="shared" si="6"/>
        <v>0</v>
      </c>
    </row>
    <row r="185" ht="28.8" spans="1:10">
      <c r="A185" s="12"/>
      <c r="B185" s="12"/>
      <c r="C185" s="13" t="s">
        <v>773</v>
      </c>
      <c r="D185" s="14" t="s">
        <v>11</v>
      </c>
      <c r="E185" s="14" t="s">
        <v>630</v>
      </c>
      <c r="F185" s="13" t="s">
        <v>631</v>
      </c>
      <c r="G185" s="12" t="s">
        <v>17</v>
      </c>
      <c r="H185" s="15"/>
      <c r="I185" s="15"/>
      <c r="J185" s="15">
        <f t="shared" si="6"/>
        <v>0</v>
      </c>
    </row>
    <row r="186" ht="28.8" spans="1:10">
      <c r="A186" s="12"/>
      <c r="B186" s="12"/>
      <c r="C186" s="13" t="s">
        <v>775</v>
      </c>
      <c r="D186" s="14" t="s">
        <v>20</v>
      </c>
      <c r="E186" s="14" t="s">
        <v>47</v>
      </c>
      <c r="F186" s="13" t="s">
        <v>48</v>
      </c>
      <c r="G186" s="12" t="s">
        <v>49</v>
      </c>
      <c r="H186" s="15"/>
      <c r="I186" s="15"/>
      <c r="J186" s="15">
        <f t="shared" si="6"/>
        <v>0</v>
      </c>
    </row>
    <row r="187" ht="28.8" spans="1:10">
      <c r="A187" s="12"/>
      <c r="B187" s="12"/>
      <c r="C187" s="13" t="s">
        <v>775</v>
      </c>
      <c r="D187" s="14" t="s">
        <v>20</v>
      </c>
      <c r="E187" s="14" t="s">
        <v>624</v>
      </c>
      <c r="F187" s="13" t="s">
        <v>625</v>
      </c>
      <c r="G187" s="12" t="s">
        <v>23</v>
      </c>
      <c r="H187" s="15"/>
      <c r="I187" s="15"/>
      <c r="J187" s="15">
        <f t="shared" si="6"/>
        <v>0</v>
      </c>
    </row>
    <row r="188" ht="28.8" spans="1:10">
      <c r="A188" s="12"/>
      <c r="B188" s="12"/>
      <c r="C188" s="13" t="s">
        <v>775</v>
      </c>
      <c r="D188" s="14" t="s">
        <v>20</v>
      </c>
      <c r="E188" s="14" t="s">
        <v>624</v>
      </c>
      <c r="F188" s="13" t="s">
        <v>626</v>
      </c>
      <c r="G188" s="12" t="s">
        <v>23</v>
      </c>
      <c r="H188" s="15"/>
      <c r="I188" s="15"/>
      <c r="J188" s="15">
        <f t="shared" si="6"/>
        <v>0</v>
      </c>
    </row>
    <row r="189" ht="28.8" spans="1:10">
      <c r="A189" s="12"/>
      <c r="B189" s="12"/>
      <c r="C189" s="13" t="s">
        <v>775</v>
      </c>
      <c r="D189" s="14" t="s">
        <v>20</v>
      </c>
      <c r="E189" s="14" t="s">
        <v>624</v>
      </c>
      <c r="F189" s="13" t="s">
        <v>627</v>
      </c>
      <c r="G189" s="12" t="s">
        <v>23</v>
      </c>
      <c r="H189" s="15"/>
      <c r="I189" s="15"/>
      <c r="J189" s="15">
        <f t="shared" si="6"/>
        <v>0</v>
      </c>
    </row>
    <row r="190" ht="28.8" spans="1:10">
      <c r="A190" s="12"/>
      <c r="B190" s="12"/>
      <c r="C190" s="13" t="s">
        <v>775</v>
      </c>
      <c r="D190" s="14" t="s">
        <v>20</v>
      </c>
      <c r="E190" s="14" t="s">
        <v>624</v>
      </c>
      <c r="F190" s="13" t="s">
        <v>628</v>
      </c>
      <c r="G190" s="12" t="s">
        <v>23</v>
      </c>
      <c r="H190" s="15"/>
      <c r="I190" s="15"/>
      <c r="J190" s="15">
        <f t="shared" si="6"/>
        <v>0</v>
      </c>
    </row>
    <row r="191" ht="28.8" spans="1:10">
      <c r="A191" s="12"/>
      <c r="B191" s="12"/>
      <c r="C191" s="13" t="s">
        <v>775</v>
      </c>
      <c r="D191" s="14" t="s">
        <v>11</v>
      </c>
      <c r="E191" s="14" t="s">
        <v>630</v>
      </c>
      <c r="F191" s="13" t="s">
        <v>631</v>
      </c>
      <c r="G191" s="12" t="s">
        <v>17</v>
      </c>
      <c r="H191" s="15"/>
      <c r="I191" s="15"/>
      <c r="J191" s="15">
        <f t="shared" si="6"/>
        <v>0</v>
      </c>
    </row>
    <row r="192" ht="28.8" spans="1:10">
      <c r="A192" s="12"/>
      <c r="B192" s="12"/>
      <c r="C192" s="13" t="s">
        <v>777</v>
      </c>
      <c r="D192" s="14" t="s">
        <v>20</v>
      </c>
      <c r="E192" s="14" t="s">
        <v>47</v>
      </c>
      <c r="F192" s="13" t="s">
        <v>48</v>
      </c>
      <c r="G192" s="12" t="s">
        <v>49</v>
      </c>
      <c r="H192" s="15"/>
      <c r="I192" s="15"/>
      <c r="J192" s="15">
        <f t="shared" si="6"/>
        <v>0</v>
      </c>
    </row>
    <row r="193" ht="28.8" spans="1:10">
      <c r="A193" s="12"/>
      <c r="B193" s="12"/>
      <c r="C193" s="13" t="s">
        <v>777</v>
      </c>
      <c r="D193" s="14" t="s">
        <v>20</v>
      </c>
      <c r="E193" s="14" t="s">
        <v>624</v>
      </c>
      <c r="F193" s="13" t="s">
        <v>625</v>
      </c>
      <c r="G193" s="12" t="s">
        <v>23</v>
      </c>
      <c r="H193" s="15"/>
      <c r="I193" s="15"/>
      <c r="J193" s="15">
        <f t="shared" si="6"/>
        <v>0</v>
      </c>
    </row>
    <row r="194" ht="28.8" spans="1:10">
      <c r="A194" s="12"/>
      <c r="B194" s="12"/>
      <c r="C194" s="13" t="s">
        <v>777</v>
      </c>
      <c r="D194" s="14" t="s">
        <v>20</v>
      </c>
      <c r="E194" s="14" t="s">
        <v>624</v>
      </c>
      <c r="F194" s="13" t="s">
        <v>626</v>
      </c>
      <c r="G194" s="12" t="s">
        <v>23</v>
      </c>
      <c r="H194" s="15"/>
      <c r="I194" s="15"/>
      <c r="J194" s="15">
        <f t="shared" si="6"/>
        <v>0</v>
      </c>
    </row>
    <row r="195" ht="28.8" spans="1:10">
      <c r="A195" s="12"/>
      <c r="B195" s="12"/>
      <c r="C195" s="13" t="s">
        <v>777</v>
      </c>
      <c r="D195" s="14" t="s">
        <v>20</v>
      </c>
      <c r="E195" s="14" t="s">
        <v>624</v>
      </c>
      <c r="F195" s="13" t="s">
        <v>627</v>
      </c>
      <c r="G195" s="12" t="s">
        <v>23</v>
      </c>
      <c r="H195" s="15"/>
      <c r="I195" s="15"/>
      <c r="J195" s="15">
        <f t="shared" si="6"/>
        <v>0</v>
      </c>
    </row>
    <row r="196" ht="28.8" spans="1:10">
      <c r="A196" s="12"/>
      <c r="B196" s="12"/>
      <c r="C196" s="13" t="s">
        <v>777</v>
      </c>
      <c r="D196" s="14" t="s">
        <v>20</v>
      </c>
      <c r="E196" s="14" t="s">
        <v>624</v>
      </c>
      <c r="F196" s="13" t="s">
        <v>628</v>
      </c>
      <c r="G196" s="12" t="s">
        <v>23</v>
      </c>
      <c r="H196" s="15"/>
      <c r="I196" s="15"/>
      <c r="J196" s="15">
        <f t="shared" si="6"/>
        <v>0</v>
      </c>
    </row>
    <row r="197" ht="28.8" spans="1:10">
      <c r="A197" s="12"/>
      <c r="B197" s="12"/>
      <c r="C197" s="13" t="s">
        <v>777</v>
      </c>
      <c r="D197" s="14" t="s">
        <v>11</v>
      </c>
      <c r="E197" s="14" t="s">
        <v>630</v>
      </c>
      <c r="F197" s="13" t="s">
        <v>631</v>
      </c>
      <c r="G197" s="12" t="s">
        <v>17</v>
      </c>
      <c r="H197" s="15"/>
      <c r="I197" s="15"/>
      <c r="J197" s="15">
        <f t="shared" si="6"/>
        <v>0</v>
      </c>
    </row>
    <row r="198" ht="28.8" spans="1:10">
      <c r="A198" s="12"/>
      <c r="B198" s="12"/>
      <c r="C198" s="13" t="s">
        <v>779</v>
      </c>
      <c r="D198" s="14" t="s">
        <v>20</v>
      </c>
      <c r="E198" s="14" t="s">
        <v>47</v>
      </c>
      <c r="F198" s="13" t="s">
        <v>48</v>
      </c>
      <c r="G198" s="12" t="s">
        <v>49</v>
      </c>
      <c r="H198" s="15"/>
      <c r="I198" s="15"/>
      <c r="J198" s="15">
        <f t="shared" si="6"/>
        <v>0</v>
      </c>
    </row>
    <row r="199" ht="28.8" spans="1:10">
      <c r="A199" s="12"/>
      <c r="B199" s="12"/>
      <c r="C199" s="13" t="s">
        <v>779</v>
      </c>
      <c r="D199" s="14" t="s">
        <v>20</v>
      </c>
      <c r="E199" s="14" t="s">
        <v>624</v>
      </c>
      <c r="F199" s="13" t="s">
        <v>625</v>
      </c>
      <c r="G199" s="12" t="s">
        <v>23</v>
      </c>
      <c r="H199" s="15"/>
      <c r="I199" s="15"/>
      <c r="J199" s="15">
        <f t="shared" si="6"/>
        <v>0</v>
      </c>
    </row>
    <row r="200" ht="28.8" spans="1:10">
      <c r="A200" s="12"/>
      <c r="B200" s="12"/>
      <c r="C200" s="13" t="s">
        <v>779</v>
      </c>
      <c r="D200" s="14" t="s">
        <v>20</v>
      </c>
      <c r="E200" s="14" t="s">
        <v>624</v>
      </c>
      <c r="F200" s="13" t="s">
        <v>626</v>
      </c>
      <c r="G200" s="12" t="s">
        <v>23</v>
      </c>
      <c r="H200" s="15"/>
      <c r="I200" s="15"/>
      <c r="J200" s="15">
        <f t="shared" si="6"/>
        <v>0</v>
      </c>
    </row>
    <row r="201" ht="28.8" spans="1:10">
      <c r="A201" s="12"/>
      <c r="B201" s="12"/>
      <c r="C201" s="13" t="s">
        <v>779</v>
      </c>
      <c r="D201" s="14" t="s">
        <v>20</v>
      </c>
      <c r="E201" s="14" t="s">
        <v>624</v>
      </c>
      <c r="F201" s="13" t="s">
        <v>627</v>
      </c>
      <c r="G201" s="12" t="s">
        <v>23</v>
      </c>
      <c r="H201" s="15"/>
      <c r="I201" s="15"/>
      <c r="J201" s="15">
        <f t="shared" si="6"/>
        <v>0</v>
      </c>
    </row>
    <row r="202" ht="28.8" spans="1:10">
      <c r="A202" s="12"/>
      <c r="B202" s="12"/>
      <c r="C202" s="13" t="s">
        <v>779</v>
      </c>
      <c r="D202" s="14" t="s">
        <v>20</v>
      </c>
      <c r="E202" s="14" t="s">
        <v>624</v>
      </c>
      <c r="F202" s="13" t="s">
        <v>628</v>
      </c>
      <c r="G202" s="12" t="s">
        <v>23</v>
      </c>
      <c r="H202" s="15"/>
      <c r="I202" s="15"/>
      <c r="J202" s="15">
        <f t="shared" si="6"/>
        <v>0</v>
      </c>
    </row>
    <row r="203" ht="28.8" spans="1:10">
      <c r="A203" s="12"/>
      <c r="B203" s="12"/>
      <c r="C203" s="13" t="s">
        <v>779</v>
      </c>
      <c r="D203" s="14" t="s">
        <v>11</v>
      </c>
      <c r="E203" s="14" t="s">
        <v>630</v>
      </c>
      <c r="F203" s="13" t="s">
        <v>631</v>
      </c>
      <c r="G203" s="12" t="s">
        <v>17</v>
      </c>
      <c r="H203" s="15"/>
      <c r="I203" s="15"/>
      <c r="J203" s="15">
        <f t="shared" si="6"/>
        <v>0</v>
      </c>
    </row>
    <row r="204" ht="28.8" spans="1:10">
      <c r="A204" s="12"/>
      <c r="B204" s="12"/>
      <c r="C204" s="13" t="s">
        <v>781</v>
      </c>
      <c r="D204" s="14" t="s">
        <v>20</v>
      </c>
      <c r="E204" s="14" t="s">
        <v>47</v>
      </c>
      <c r="F204" s="13" t="s">
        <v>48</v>
      </c>
      <c r="G204" s="12" t="s">
        <v>49</v>
      </c>
      <c r="H204" s="15"/>
      <c r="I204" s="15"/>
      <c r="J204" s="15">
        <f t="shared" si="6"/>
        <v>0</v>
      </c>
    </row>
    <row r="205" ht="28.8" spans="1:10">
      <c r="A205" s="12"/>
      <c r="B205" s="12"/>
      <c r="C205" s="13" t="s">
        <v>781</v>
      </c>
      <c r="D205" s="14" t="s">
        <v>20</v>
      </c>
      <c r="E205" s="14" t="s">
        <v>624</v>
      </c>
      <c r="F205" s="13" t="s">
        <v>625</v>
      </c>
      <c r="G205" s="12" t="s">
        <v>23</v>
      </c>
      <c r="H205" s="15"/>
      <c r="I205" s="15"/>
      <c r="J205" s="15">
        <f t="shared" si="6"/>
        <v>0</v>
      </c>
    </row>
    <row r="206" ht="28.8" spans="1:10">
      <c r="A206" s="12"/>
      <c r="B206" s="12"/>
      <c r="C206" s="13" t="s">
        <v>781</v>
      </c>
      <c r="D206" s="14" t="s">
        <v>20</v>
      </c>
      <c r="E206" s="14" t="s">
        <v>624</v>
      </c>
      <c r="F206" s="13" t="s">
        <v>626</v>
      </c>
      <c r="G206" s="12" t="s">
        <v>23</v>
      </c>
      <c r="H206" s="15"/>
      <c r="I206" s="15"/>
      <c r="J206" s="15">
        <f t="shared" ref="J206:J252" si="7">+ROUND(PRODUCT(H206*I206),0)</f>
        <v>0</v>
      </c>
    </row>
    <row r="207" ht="28.8" spans="1:10">
      <c r="A207" s="12"/>
      <c r="B207" s="12"/>
      <c r="C207" s="13" t="s">
        <v>781</v>
      </c>
      <c r="D207" s="14" t="s">
        <v>20</v>
      </c>
      <c r="E207" s="14" t="s">
        <v>624</v>
      </c>
      <c r="F207" s="13" t="s">
        <v>627</v>
      </c>
      <c r="G207" s="12" t="s">
        <v>23</v>
      </c>
      <c r="H207" s="15"/>
      <c r="I207" s="15"/>
      <c r="J207" s="15">
        <f t="shared" si="7"/>
        <v>0</v>
      </c>
    </row>
    <row r="208" ht="28.8" spans="1:10">
      <c r="A208" s="12"/>
      <c r="B208" s="12"/>
      <c r="C208" s="13" t="s">
        <v>781</v>
      </c>
      <c r="D208" s="14" t="s">
        <v>20</v>
      </c>
      <c r="E208" s="14" t="s">
        <v>624</v>
      </c>
      <c r="F208" s="13" t="s">
        <v>628</v>
      </c>
      <c r="G208" s="12" t="s">
        <v>23</v>
      </c>
      <c r="H208" s="15"/>
      <c r="I208" s="15"/>
      <c r="J208" s="15">
        <f t="shared" si="7"/>
        <v>0</v>
      </c>
    </row>
    <row r="209" ht="28.8" spans="1:10">
      <c r="A209" s="12"/>
      <c r="B209" s="12"/>
      <c r="C209" s="13" t="s">
        <v>781</v>
      </c>
      <c r="D209" s="14" t="s">
        <v>11</v>
      </c>
      <c r="E209" s="14" t="s">
        <v>630</v>
      </c>
      <c r="F209" s="13" t="s">
        <v>631</v>
      </c>
      <c r="G209" s="12" t="s">
        <v>17</v>
      </c>
      <c r="H209" s="15"/>
      <c r="I209" s="15"/>
      <c r="J209" s="15">
        <f t="shared" si="7"/>
        <v>0</v>
      </c>
    </row>
    <row r="210" ht="28.8" spans="1:10">
      <c r="A210" s="12"/>
      <c r="B210" s="12"/>
      <c r="C210" s="13" t="s">
        <v>783</v>
      </c>
      <c r="D210" s="14" t="s">
        <v>20</v>
      </c>
      <c r="E210" s="14" t="s">
        <v>47</v>
      </c>
      <c r="F210" s="13" t="s">
        <v>48</v>
      </c>
      <c r="G210" s="12" t="s">
        <v>49</v>
      </c>
      <c r="H210" s="15"/>
      <c r="I210" s="15"/>
      <c r="J210" s="15">
        <f t="shared" si="7"/>
        <v>0</v>
      </c>
    </row>
    <row r="211" ht="28.8" spans="1:10">
      <c r="A211" s="12"/>
      <c r="B211" s="12"/>
      <c r="C211" s="13" t="s">
        <v>783</v>
      </c>
      <c r="D211" s="14" t="s">
        <v>20</v>
      </c>
      <c r="E211" s="14" t="s">
        <v>624</v>
      </c>
      <c r="F211" s="13" t="s">
        <v>625</v>
      </c>
      <c r="G211" s="12" t="s">
        <v>23</v>
      </c>
      <c r="H211" s="15"/>
      <c r="I211" s="15"/>
      <c r="J211" s="15">
        <f t="shared" si="7"/>
        <v>0</v>
      </c>
    </row>
    <row r="212" ht="28.8" spans="1:10">
      <c r="A212" s="12"/>
      <c r="B212" s="12"/>
      <c r="C212" s="13" t="s">
        <v>783</v>
      </c>
      <c r="D212" s="14" t="s">
        <v>20</v>
      </c>
      <c r="E212" s="14" t="s">
        <v>624</v>
      </c>
      <c r="F212" s="13" t="s">
        <v>626</v>
      </c>
      <c r="G212" s="12" t="s">
        <v>23</v>
      </c>
      <c r="H212" s="15"/>
      <c r="I212" s="15"/>
      <c r="J212" s="15">
        <f t="shared" si="7"/>
        <v>0</v>
      </c>
    </row>
    <row r="213" ht="28.8" spans="1:10">
      <c r="A213" s="12"/>
      <c r="B213" s="12"/>
      <c r="C213" s="13" t="s">
        <v>783</v>
      </c>
      <c r="D213" s="14" t="s">
        <v>20</v>
      </c>
      <c r="E213" s="14" t="s">
        <v>624</v>
      </c>
      <c r="F213" s="13" t="s">
        <v>627</v>
      </c>
      <c r="G213" s="12" t="s">
        <v>23</v>
      </c>
      <c r="H213" s="15"/>
      <c r="I213" s="15"/>
      <c r="J213" s="15">
        <f t="shared" si="7"/>
        <v>0</v>
      </c>
    </row>
    <row r="214" ht="28.8" spans="1:10">
      <c r="A214" s="12"/>
      <c r="B214" s="12"/>
      <c r="C214" s="13" t="s">
        <v>783</v>
      </c>
      <c r="D214" s="14" t="s">
        <v>20</v>
      </c>
      <c r="E214" s="14" t="s">
        <v>624</v>
      </c>
      <c r="F214" s="13" t="s">
        <v>628</v>
      </c>
      <c r="G214" s="12" t="s">
        <v>23</v>
      </c>
      <c r="H214" s="15"/>
      <c r="I214" s="15"/>
      <c r="J214" s="15">
        <f t="shared" si="7"/>
        <v>0</v>
      </c>
    </row>
    <row r="215" ht="28.8" spans="1:10">
      <c r="A215" s="12"/>
      <c r="B215" s="12"/>
      <c r="C215" s="13" t="s">
        <v>783</v>
      </c>
      <c r="D215" s="14" t="s">
        <v>11</v>
      </c>
      <c r="E215" s="14" t="s">
        <v>630</v>
      </c>
      <c r="F215" s="13" t="s">
        <v>631</v>
      </c>
      <c r="G215" s="12" t="s">
        <v>17</v>
      </c>
      <c r="H215" s="15"/>
      <c r="I215" s="15"/>
      <c r="J215" s="15">
        <f t="shared" si="7"/>
        <v>0</v>
      </c>
    </row>
    <row r="216" ht="28.8" spans="1:10">
      <c r="A216" s="12"/>
      <c r="B216" s="12"/>
      <c r="C216" s="13" t="s">
        <v>785</v>
      </c>
      <c r="D216" s="14" t="s">
        <v>20</v>
      </c>
      <c r="E216" s="14" t="s">
        <v>47</v>
      </c>
      <c r="F216" s="13" t="s">
        <v>48</v>
      </c>
      <c r="G216" s="12" t="s">
        <v>49</v>
      </c>
      <c r="H216" s="15"/>
      <c r="I216" s="15"/>
      <c r="J216" s="15">
        <f t="shared" si="7"/>
        <v>0</v>
      </c>
    </row>
    <row r="217" ht="28.8" spans="1:10">
      <c r="A217" s="12"/>
      <c r="B217" s="12"/>
      <c r="C217" s="13" t="s">
        <v>785</v>
      </c>
      <c r="D217" s="14" t="s">
        <v>20</v>
      </c>
      <c r="E217" s="14" t="s">
        <v>624</v>
      </c>
      <c r="F217" s="13" t="s">
        <v>625</v>
      </c>
      <c r="G217" s="12" t="s">
        <v>23</v>
      </c>
      <c r="H217" s="15"/>
      <c r="I217" s="15"/>
      <c r="J217" s="15">
        <f t="shared" si="7"/>
        <v>0</v>
      </c>
    </row>
    <row r="218" ht="28.8" spans="1:10">
      <c r="A218" s="12"/>
      <c r="B218" s="12"/>
      <c r="C218" s="13" t="s">
        <v>785</v>
      </c>
      <c r="D218" s="14" t="s">
        <v>20</v>
      </c>
      <c r="E218" s="14" t="s">
        <v>624</v>
      </c>
      <c r="F218" s="13" t="s">
        <v>626</v>
      </c>
      <c r="G218" s="12" t="s">
        <v>23</v>
      </c>
      <c r="H218" s="15"/>
      <c r="I218" s="15"/>
      <c r="J218" s="15">
        <f t="shared" si="7"/>
        <v>0</v>
      </c>
    </row>
    <row r="219" ht="28.8" spans="1:10">
      <c r="A219" s="12"/>
      <c r="B219" s="12"/>
      <c r="C219" s="13" t="s">
        <v>785</v>
      </c>
      <c r="D219" s="14" t="s">
        <v>20</v>
      </c>
      <c r="E219" s="14" t="s">
        <v>624</v>
      </c>
      <c r="F219" s="13" t="s">
        <v>627</v>
      </c>
      <c r="G219" s="12" t="s">
        <v>23</v>
      </c>
      <c r="H219" s="15"/>
      <c r="I219" s="15"/>
      <c r="J219" s="15">
        <f t="shared" si="7"/>
        <v>0</v>
      </c>
    </row>
    <row r="220" ht="28.8" spans="1:10">
      <c r="A220" s="12"/>
      <c r="B220" s="12"/>
      <c r="C220" s="13" t="s">
        <v>785</v>
      </c>
      <c r="D220" s="14" t="s">
        <v>20</v>
      </c>
      <c r="E220" s="14" t="s">
        <v>624</v>
      </c>
      <c r="F220" s="13" t="s">
        <v>628</v>
      </c>
      <c r="G220" s="12" t="s">
        <v>23</v>
      </c>
      <c r="H220" s="15"/>
      <c r="I220" s="15"/>
      <c r="J220" s="15">
        <f t="shared" si="7"/>
        <v>0</v>
      </c>
    </row>
    <row r="221" ht="28.8" spans="1:10">
      <c r="A221" s="12"/>
      <c r="B221" s="12"/>
      <c r="C221" s="13" t="s">
        <v>785</v>
      </c>
      <c r="D221" s="14" t="s">
        <v>11</v>
      </c>
      <c r="E221" s="14" t="s">
        <v>630</v>
      </c>
      <c r="F221" s="13" t="s">
        <v>631</v>
      </c>
      <c r="G221" s="12" t="s">
        <v>17</v>
      </c>
      <c r="H221" s="15"/>
      <c r="I221" s="15"/>
      <c r="J221" s="15">
        <f t="shared" si="7"/>
        <v>0</v>
      </c>
    </row>
    <row r="222" ht="28.8" spans="1:10">
      <c r="A222" s="12"/>
      <c r="B222" s="12"/>
      <c r="C222" s="13" t="s">
        <v>787</v>
      </c>
      <c r="D222" s="14" t="s">
        <v>20</v>
      </c>
      <c r="E222" s="14" t="s">
        <v>47</v>
      </c>
      <c r="F222" s="13" t="s">
        <v>48</v>
      </c>
      <c r="G222" s="12" t="s">
        <v>49</v>
      </c>
      <c r="H222" s="15"/>
      <c r="I222" s="15"/>
      <c r="J222" s="15">
        <f t="shared" si="7"/>
        <v>0</v>
      </c>
    </row>
    <row r="223" ht="28.8" spans="1:10">
      <c r="A223" s="12"/>
      <c r="B223" s="12"/>
      <c r="C223" s="13" t="s">
        <v>787</v>
      </c>
      <c r="D223" s="14" t="s">
        <v>20</v>
      </c>
      <c r="E223" s="14" t="s">
        <v>624</v>
      </c>
      <c r="F223" s="13" t="s">
        <v>625</v>
      </c>
      <c r="G223" s="12" t="s">
        <v>23</v>
      </c>
      <c r="H223" s="15"/>
      <c r="I223" s="15"/>
      <c r="J223" s="15">
        <f t="shared" si="7"/>
        <v>0</v>
      </c>
    </row>
    <row r="224" ht="28.8" spans="1:10">
      <c r="A224" s="12"/>
      <c r="B224" s="12"/>
      <c r="C224" s="13" t="s">
        <v>787</v>
      </c>
      <c r="D224" s="14" t="s">
        <v>20</v>
      </c>
      <c r="E224" s="14" t="s">
        <v>624</v>
      </c>
      <c r="F224" s="13" t="s">
        <v>626</v>
      </c>
      <c r="G224" s="12" t="s">
        <v>23</v>
      </c>
      <c r="H224" s="15"/>
      <c r="I224" s="15"/>
      <c r="J224" s="15">
        <f t="shared" si="7"/>
        <v>0</v>
      </c>
    </row>
    <row r="225" ht="28.8" spans="1:10">
      <c r="A225" s="12"/>
      <c r="B225" s="12"/>
      <c r="C225" s="13" t="s">
        <v>787</v>
      </c>
      <c r="D225" s="14" t="s">
        <v>20</v>
      </c>
      <c r="E225" s="14" t="s">
        <v>624</v>
      </c>
      <c r="F225" s="13" t="s">
        <v>627</v>
      </c>
      <c r="G225" s="12" t="s">
        <v>23</v>
      </c>
      <c r="H225" s="15"/>
      <c r="I225" s="15"/>
      <c r="J225" s="15">
        <f t="shared" si="7"/>
        <v>0</v>
      </c>
    </row>
    <row r="226" ht="28.8" spans="1:10">
      <c r="A226" s="12"/>
      <c r="B226" s="12"/>
      <c r="C226" s="13" t="s">
        <v>787</v>
      </c>
      <c r="D226" s="14" t="s">
        <v>20</v>
      </c>
      <c r="E226" s="14" t="s">
        <v>624</v>
      </c>
      <c r="F226" s="13" t="s">
        <v>628</v>
      </c>
      <c r="G226" s="12" t="s">
        <v>23</v>
      </c>
      <c r="H226" s="15"/>
      <c r="I226" s="15"/>
      <c r="J226" s="15">
        <f t="shared" si="7"/>
        <v>0</v>
      </c>
    </row>
    <row r="227" ht="28.8" spans="1:10">
      <c r="A227" s="12"/>
      <c r="B227" s="12"/>
      <c r="C227" s="13" t="s">
        <v>787</v>
      </c>
      <c r="D227" s="14" t="s">
        <v>11</v>
      </c>
      <c r="E227" s="14" t="s">
        <v>630</v>
      </c>
      <c r="F227" s="13" t="s">
        <v>631</v>
      </c>
      <c r="G227" s="12" t="s">
        <v>17</v>
      </c>
      <c r="H227" s="15"/>
      <c r="I227" s="15"/>
      <c r="J227" s="15">
        <f t="shared" si="7"/>
        <v>0</v>
      </c>
    </row>
    <row r="228" ht="28.8" spans="1:10">
      <c r="A228" s="12"/>
      <c r="B228" s="12"/>
      <c r="C228" s="13" t="s">
        <v>789</v>
      </c>
      <c r="D228" s="14" t="s">
        <v>20</v>
      </c>
      <c r="E228" s="14" t="s">
        <v>47</v>
      </c>
      <c r="F228" s="13" t="s">
        <v>48</v>
      </c>
      <c r="G228" s="12" t="s">
        <v>49</v>
      </c>
      <c r="H228" s="15"/>
      <c r="I228" s="15"/>
      <c r="J228" s="15">
        <f t="shared" si="7"/>
        <v>0</v>
      </c>
    </row>
    <row r="229" ht="28.8" spans="1:10">
      <c r="A229" s="12"/>
      <c r="B229" s="12"/>
      <c r="C229" s="13" t="s">
        <v>789</v>
      </c>
      <c r="D229" s="14" t="s">
        <v>20</v>
      </c>
      <c r="E229" s="14" t="s">
        <v>624</v>
      </c>
      <c r="F229" s="13" t="s">
        <v>625</v>
      </c>
      <c r="G229" s="12" t="s">
        <v>23</v>
      </c>
      <c r="H229" s="15"/>
      <c r="I229" s="15"/>
      <c r="J229" s="15">
        <f t="shared" si="7"/>
        <v>0</v>
      </c>
    </row>
    <row r="230" ht="28.8" spans="1:10">
      <c r="A230" s="12"/>
      <c r="B230" s="12"/>
      <c r="C230" s="13" t="s">
        <v>789</v>
      </c>
      <c r="D230" s="14" t="s">
        <v>20</v>
      </c>
      <c r="E230" s="14" t="s">
        <v>624</v>
      </c>
      <c r="F230" s="13" t="s">
        <v>626</v>
      </c>
      <c r="G230" s="12" t="s">
        <v>23</v>
      </c>
      <c r="H230" s="15"/>
      <c r="I230" s="15"/>
      <c r="J230" s="15">
        <f t="shared" si="7"/>
        <v>0</v>
      </c>
    </row>
    <row r="231" ht="28.8" spans="1:10">
      <c r="A231" s="12"/>
      <c r="B231" s="12"/>
      <c r="C231" s="13" t="s">
        <v>789</v>
      </c>
      <c r="D231" s="14" t="s">
        <v>20</v>
      </c>
      <c r="E231" s="14" t="s">
        <v>624</v>
      </c>
      <c r="F231" s="13" t="s">
        <v>627</v>
      </c>
      <c r="G231" s="12" t="s">
        <v>23</v>
      </c>
      <c r="H231" s="15"/>
      <c r="I231" s="15"/>
      <c r="J231" s="15">
        <f t="shared" si="7"/>
        <v>0</v>
      </c>
    </row>
    <row r="232" ht="28.8" spans="1:10">
      <c r="A232" s="12"/>
      <c r="B232" s="12"/>
      <c r="C232" s="13" t="s">
        <v>789</v>
      </c>
      <c r="D232" s="14" t="s">
        <v>20</v>
      </c>
      <c r="E232" s="14" t="s">
        <v>624</v>
      </c>
      <c r="F232" s="13" t="s">
        <v>628</v>
      </c>
      <c r="G232" s="12" t="s">
        <v>23</v>
      </c>
      <c r="H232" s="15"/>
      <c r="I232" s="15"/>
      <c r="J232" s="15">
        <f t="shared" si="7"/>
        <v>0</v>
      </c>
    </row>
    <row r="233" ht="28.8" spans="1:10">
      <c r="A233" s="12"/>
      <c r="B233" s="12"/>
      <c r="C233" s="13" t="s">
        <v>789</v>
      </c>
      <c r="D233" s="14" t="s">
        <v>11</v>
      </c>
      <c r="E233" s="14" t="s">
        <v>630</v>
      </c>
      <c r="F233" s="13" t="s">
        <v>631</v>
      </c>
      <c r="G233" s="12" t="s">
        <v>17</v>
      </c>
      <c r="H233" s="15"/>
      <c r="I233" s="15"/>
      <c r="J233" s="15">
        <f t="shared" si="7"/>
        <v>0</v>
      </c>
    </row>
    <row r="234" ht="28.8" spans="1:10">
      <c r="A234" s="12"/>
      <c r="B234" s="12"/>
      <c r="C234" s="13" t="s">
        <v>791</v>
      </c>
      <c r="D234" s="14" t="s">
        <v>11</v>
      </c>
      <c r="E234" s="14" t="s">
        <v>634</v>
      </c>
      <c r="F234" s="13" t="s">
        <v>635</v>
      </c>
      <c r="G234" s="12" t="s">
        <v>23</v>
      </c>
      <c r="H234" s="15"/>
      <c r="I234" s="15"/>
      <c r="J234" s="15">
        <f t="shared" si="7"/>
        <v>0</v>
      </c>
    </row>
    <row r="235" ht="28.8" spans="1:10">
      <c r="A235" s="12"/>
      <c r="B235" s="12"/>
      <c r="C235" s="13" t="s">
        <v>791</v>
      </c>
      <c r="D235" s="14" t="s">
        <v>20</v>
      </c>
      <c r="E235" s="14" t="s">
        <v>636</v>
      </c>
      <c r="F235" s="13" t="s">
        <v>637</v>
      </c>
      <c r="G235" s="12" t="s">
        <v>23</v>
      </c>
      <c r="H235" s="15"/>
      <c r="I235" s="15"/>
      <c r="J235" s="15">
        <f t="shared" si="7"/>
        <v>0</v>
      </c>
    </row>
    <row r="236" ht="28.8" spans="1:10">
      <c r="A236" s="12"/>
      <c r="B236" s="12"/>
      <c r="C236" s="13" t="s">
        <v>793</v>
      </c>
      <c r="D236" s="14" t="s">
        <v>11</v>
      </c>
      <c r="E236" s="14" t="s">
        <v>634</v>
      </c>
      <c r="F236" s="13" t="s">
        <v>640</v>
      </c>
      <c r="G236" s="12" t="s">
        <v>23</v>
      </c>
      <c r="H236" s="15"/>
      <c r="I236" s="15"/>
      <c r="J236" s="15">
        <f t="shared" si="7"/>
        <v>0</v>
      </c>
    </row>
    <row r="237" ht="28.8" spans="1:10">
      <c r="A237" s="12"/>
      <c r="B237" s="12"/>
      <c r="C237" s="13" t="s">
        <v>793</v>
      </c>
      <c r="D237" s="14" t="s">
        <v>20</v>
      </c>
      <c r="E237" s="14" t="s">
        <v>636</v>
      </c>
      <c r="F237" s="13" t="s">
        <v>641</v>
      </c>
      <c r="G237" s="12" t="s">
        <v>23</v>
      </c>
      <c r="H237" s="15"/>
      <c r="I237" s="15"/>
      <c r="J237" s="15">
        <f t="shared" si="7"/>
        <v>0</v>
      </c>
    </row>
    <row r="238" ht="28.8" spans="1:10">
      <c r="A238" s="12"/>
      <c r="B238" s="12"/>
      <c r="C238" s="13" t="s">
        <v>795</v>
      </c>
      <c r="D238" s="14" t="s">
        <v>11</v>
      </c>
      <c r="E238" s="14" t="s">
        <v>634</v>
      </c>
      <c r="F238" s="13" t="s">
        <v>650</v>
      </c>
      <c r="G238" s="12" t="s">
        <v>23</v>
      </c>
      <c r="H238" s="15"/>
      <c r="I238" s="15"/>
      <c r="J238" s="15">
        <f t="shared" si="7"/>
        <v>0</v>
      </c>
    </row>
    <row r="239" ht="28.8" spans="1:10">
      <c r="A239" s="12"/>
      <c r="B239" s="12"/>
      <c r="C239" s="13" t="s">
        <v>795</v>
      </c>
      <c r="D239" s="14" t="s">
        <v>20</v>
      </c>
      <c r="E239" s="14" t="s">
        <v>636</v>
      </c>
      <c r="F239" s="13" t="s">
        <v>644</v>
      </c>
      <c r="G239" s="12" t="s">
        <v>23</v>
      </c>
      <c r="H239" s="15"/>
      <c r="I239" s="15"/>
      <c r="J239" s="15">
        <f t="shared" si="7"/>
        <v>0</v>
      </c>
    </row>
    <row r="240" ht="28.8" spans="1:10">
      <c r="A240" s="12"/>
      <c r="B240" s="12"/>
      <c r="C240" s="13" t="s">
        <v>797</v>
      </c>
      <c r="D240" s="14" t="s">
        <v>11</v>
      </c>
      <c r="E240" s="14" t="s">
        <v>634</v>
      </c>
      <c r="F240" s="13" t="s">
        <v>635</v>
      </c>
      <c r="G240" s="12" t="s">
        <v>23</v>
      </c>
      <c r="H240" s="15"/>
      <c r="I240" s="15"/>
      <c r="J240" s="15">
        <f t="shared" si="7"/>
        <v>0</v>
      </c>
    </row>
    <row r="241" ht="28.8" spans="1:10">
      <c r="A241" s="12"/>
      <c r="B241" s="12"/>
      <c r="C241" s="13" t="s">
        <v>797</v>
      </c>
      <c r="D241" s="14" t="s">
        <v>11</v>
      </c>
      <c r="E241" s="14" t="s">
        <v>634</v>
      </c>
      <c r="F241" s="13" t="s">
        <v>640</v>
      </c>
      <c r="G241" s="12" t="s">
        <v>23</v>
      </c>
      <c r="H241" s="15"/>
      <c r="I241" s="15"/>
      <c r="J241" s="15">
        <f t="shared" si="7"/>
        <v>0</v>
      </c>
    </row>
    <row r="242" ht="28.8" spans="1:10">
      <c r="A242" s="12"/>
      <c r="B242" s="12"/>
      <c r="C242" s="13" t="s">
        <v>797</v>
      </c>
      <c r="D242" s="14" t="s">
        <v>20</v>
      </c>
      <c r="E242" s="14" t="s">
        <v>636</v>
      </c>
      <c r="F242" s="13" t="s">
        <v>647</v>
      </c>
      <c r="G242" s="12" t="s">
        <v>23</v>
      </c>
      <c r="H242" s="15"/>
      <c r="I242" s="15"/>
      <c r="J242" s="15">
        <f t="shared" si="7"/>
        <v>0</v>
      </c>
    </row>
    <row r="243" ht="28.8" spans="1:10">
      <c r="A243" s="12"/>
      <c r="B243" s="12"/>
      <c r="C243" s="13" t="s">
        <v>799</v>
      </c>
      <c r="D243" s="14" t="s">
        <v>11</v>
      </c>
      <c r="E243" s="14" t="s">
        <v>634</v>
      </c>
      <c r="F243" s="13" t="s">
        <v>640</v>
      </c>
      <c r="G243" s="12" t="s">
        <v>23</v>
      </c>
      <c r="H243" s="15"/>
      <c r="I243" s="15"/>
      <c r="J243" s="15">
        <f t="shared" si="7"/>
        <v>0</v>
      </c>
    </row>
    <row r="244" ht="28.8" spans="1:10">
      <c r="A244" s="12"/>
      <c r="B244" s="12"/>
      <c r="C244" s="13" t="s">
        <v>799</v>
      </c>
      <c r="D244" s="14" t="s">
        <v>11</v>
      </c>
      <c r="E244" s="14" t="s">
        <v>634</v>
      </c>
      <c r="F244" s="13" t="s">
        <v>650</v>
      </c>
      <c r="G244" s="12" t="s">
        <v>23</v>
      </c>
      <c r="H244" s="15"/>
      <c r="I244" s="15"/>
      <c r="J244" s="15">
        <f t="shared" si="7"/>
        <v>0</v>
      </c>
    </row>
    <row r="245" ht="28.8" spans="1:10">
      <c r="A245" s="12"/>
      <c r="B245" s="12"/>
      <c r="C245" s="13" t="s">
        <v>799</v>
      </c>
      <c r="D245" s="14" t="s">
        <v>20</v>
      </c>
      <c r="E245" s="14" t="s">
        <v>636</v>
      </c>
      <c r="F245" s="13" t="s">
        <v>651</v>
      </c>
      <c r="G245" s="12" t="s">
        <v>23</v>
      </c>
      <c r="H245" s="15"/>
      <c r="I245" s="15"/>
      <c r="J245" s="15">
        <f t="shared" si="7"/>
        <v>0</v>
      </c>
    </row>
    <row r="246" ht="28.8" spans="1:10">
      <c r="A246" s="12"/>
      <c r="B246" s="12"/>
      <c r="C246" s="13" t="s">
        <v>801</v>
      </c>
      <c r="D246" s="14" t="s">
        <v>11</v>
      </c>
      <c r="E246" s="14" t="s">
        <v>634</v>
      </c>
      <c r="F246" s="13" t="s">
        <v>635</v>
      </c>
      <c r="G246" s="12" t="s">
        <v>23</v>
      </c>
      <c r="H246" s="15"/>
      <c r="I246" s="15"/>
      <c r="J246" s="15">
        <f t="shared" si="7"/>
        <v>0</v>
      </c>
    </row>
    <row r="247" ht="28.8" spans="1:10">
      <c r="A247" s="12"/>
      <c r="B247" s="12"/>
      <c r="C247" s="13" t="s">
        <v>801</v>
      </c>
      <c r="D247" s="14" t="s">
        <v>11</v>
      </c>
      <c r="E247" s="14" t="s">
        <v>634</v>
      </c>
      <c r="F247" s="13" t="s">
        <v>650</v>
      </c>
      <c r="G247" s="12" t="s">
        <v>23</v>
      </c>
      <c r="H247" s="15"/>
      <c r="I247" s="15"/>
      <c r="J247" s="15">
        <f t="shared" si="7"/>
        <v>0</v>
      </c>
    </row>
    <row r="248" ht="28.8" spans="1:10">
      <c r="A248" s="12"/>
      <c r="B248" s="12"/>
      <c r="C248" s="13" t="s">
        <v>801</v>
      </c>
      <c r="D248" s="14" t="s">
        <v>20</v>
      </c>
      <c r="E248" s="14" t="s">
        <v>636</v>
      </c>
      <c r="F248" s="13" t="s">
        <v>654</v>
      </c>
      <c r="G248" s="12" t="s">
        <v>23</v>
      </c>
      <c r="H248" s="15"/>
      <c r="I248" s="15"/>
      <c r="J248" s="15">
        <f t="shared" si="7"/>
        <v>0</v>
      </c>
    </row>
    <row r="249" spans="1:10">
      <c r="A249" s="12"/>
      <c r="B249" s="12"/>
      <c r="C249" s="13" t="s">
        <v>803</v>
      </c>
      <c r="D249" s="14" t="s">
        <v>11</v>
      </c>
      <c r="E249" s="14" t="s">
        <v>12</v>
      </c>
      <c r="F249" s="13" t="s">
        <v>13</v>
      </c>
      <c r="G249" s="12" t="s">
        <v>14</v>
      </c>
      <c r="H249" s="15"/>
      <c r="I249" s="15"/>
      <c r="J249" s="15">
        <f t="shared" si="7"/>
        <v>0</v>
      </c>
    </row>
    <row r="250" spans="1:10">
      <c r="A250" s="12"/>
      <c r="B250" s="12"/>
      <c r="C250" s="13" t="s">
        <v>803</v>
      </c>
      <c r="D250" s="14" t="s">
        <v>11</v>
      </c>
      <c r="E250" s="14" t="s">
        <v>12</v>
      </c>
      <c r="F250" s="13" t="s">
        <v>15</v>
      </c>
      <c r="G250" s="12" t="s">
        <v>14</v>
      </c>
      <c r="H250" s="15"/>
      <c r="I250" s="15"/>
      <c r="J250" s="15">
        <f t="shared" si="7"/>
        <v>0</v>
      </c>
    </row>
    <row r="251" spans="1:10">
      <c r="A251" s="12"/>
      <c r="B251" s="12"/>
      <c r="C251" s="13" t="s">
        <v>803</v>
      </c>
      <c r="D251" s="14" t="s">
        <v>11</v>
      </c>
      <c r="E251" s="14" t="s">
        <v>12</v>
      </c>
      <c r="F251" s="13" t="s">
        <v>28</v>
      </c>
      <c r="G251" s="12" t="s">
        <v>14</v>
      </c>
      <c r="H251" s="15"/>
      <c r="I251" s="15"/>
      <c r="J251" s="15">
        <f t="shared" si="7"/>
        <v>0</v>
      </c>
    </row>
    <row r="252" spans="1:10">
      <c r="A252" s="12"/>
      <c r="B252" s="12"/>
      <c r="C252" s="13" t="s">
        <v>803</v>
      </c>
      <c r="D252" s="14" t="s">
        <v>20</v>
      </c>
      <c r="E252" s="14" t="s">
        <v>106</v>
      </c>
      <c r="F252" s="13" t="s">
        <v>107</v>
      </c>
      <c r="G252" s="12" t="s">
        <v>108</v>
      </c>
      <c r="H252" s="15"/>
      <c r="I252" s="15"/>
      <c r="J252" s="15">
        <f t="shared" si="7"/>
        <v>0</v>
      </c>
    </row>
    <row r="253" spans="1:10">
      <c r="A253" s="8"/>
      <c r="B253" s="8"/>
      <c r="C253" s="9"/>
      <c r="D253" s="10"/>
      <c r="E253" s="10"/>
      <c r="F253" s="9"/>
      <c r="G253" s="8"/>
      <c r="H253" s="11"/>
      <c r="I253" s="11"/>
      <c r="J253" s="11"/>
    </row>
    <row r="254" ht="28.8" spans="1:10">
      <c r="A254" s="12"/>
      <c r="B254" s="12"/>
      <c r="C254" s="13" t="s">
        <v>805</v>
      </c>
      <c r="D254" s="14" t="s">
        <v>11</v>
      </c>
      <c r="E254" s="14" t="s">
        <v>24</v>
      </c>
      <c r="F254" s="13" t="s">
        <v>604</v>
      </c>
      <c r="G254" s="12" t="s">
        <v>34</v>
      </c>
      <c r="H254" s="15"/>
      <c r="I254" s="15"/>
      <c r="J254" s="15">
        <f t="shared" ref="J254:J317" si="8">+ROUND(PRODUCT(H254*I254),0)</f>
        <v>0</v>
      </c>
    </row>
    <row r="255" ht="28.8" spans="1:10">
      <c r="A255" s="12"/>
      <c r="B255" s="12"/>
      <c r="C255" s="13" t="s">
        <v>805</v>
      </c>
      <c r="D255" s="14" t="s">
        <v>11</v>
      </c>
      <c r="E255" s="14" t="s">
        <v>24</v>
      </c>
      <c r="F255" s="13" t="s">
        <v>605</v>
      </c>
      <c r="G255" s="12" t="s">
        <v>34</v>
      </c>
      <c r="H255" s="15"/>
      <c r="I255" s="15"/>
      <c r="J255" s="15">
        <f t="shared" si="8"/>
        <v>0</v>
      </c>
    </row>
    <row r="256" ht="28.8" spans="1:10">
      <c r="A256" s="12"/>
      <c r="B256" s="12"/>
      <c r="C256" s="13" t="s">
        <v>805</v>
      </c>
      <c r="D256" s="14" t="s">
        <v>11</v>
      </c>
      <c r="E256" s="14" t="s">
        <v>24</v>
      </c>
      <c r="F256" s="13" t="s">
        <v>606</v>
      </c>
      <c r="G256" s="12" t="s">
        <v>34</v>
      </c>
      <c r="H256" s="15"/>
      <c r="I256" s="15"/>
      <c r="J256" s="15">
        <f t="shared" si="8"/>
        <v>0</v>
      </c>
    </row>
    <row r="257" ht="28.8" spans="1:10">
      <c r="A257" s="12"/>
      <c r="B257" s="12"/>
      <c r="C257" s="13" t="s">
        <v>805</v>
      </c>
      <c r="D257" s="14" t="s">
        <v>20</v>
      </c>
      <c r="E257" s="14" t="s">
        <v>47</v>
      </c>
      <c r="F257" s="13" t="s">
        <v>50</v>
      </c>
      <c r="G257" s="12" t="s">
        <v>49</v>
      </c>
      <c r="H257" s="15"/>
      <c r="I257" s="15"/>
      <c r="J257" s="15">
        <f t="shared" si="8"/>
        <v>0</v>
      </c>
    </row>
    <row r="258" ht="28.8" spans="1:10">
      <c r="A258" s="12"/>
      <c r="B258" s="12"/>
      <c r="C258" s="13" t="s">
        <v>805</v>
      </c>
      <c r="D258" s="14" t="s">
        <v>20</v>
      </c>
      <c r="E258" s="14" t="s">
        <v>61</v>
      </c>
      <c r="F258" s="13" t="s">
        <v>78</v>
      </c>
      <c r="G258" s="12" t="s">
        <v>49</v>
      </c>
      <c r="H258" s="15"/>
      <c r="I258" s="15"/>
      <c r="J258" s="15">
        <f t="shared" si="8"/>
        <v>0</v>
      </c>
    </row>
    <row r="259" ht="28.8" spans="1:10">
      <c r="A259" s="12"/>
      <c r="B259" s="12"/>
      <c r="C259" s="13" t="s">
        <v>805</v>
      </c>
      <c r="D259" s="14" t="s">
        <v>20</v>
      </c>
      <c r="E259" s="14" t="s">
        <v>61</v>
      </c>
      <c r="F259" s="13" t="s">
        <v>607</v>
      </c>
      <c r="G259" s="12" t="s">
        <v>23</v>
      </c>
      <c r="H259" s="15"/>
      <c r="I259" s="15"/>
      <c r="J259" s="15">
        <f t="shared" si="8"/>
        <v>0</v>
      </c>
    </row>
    <row r="260" ht="28.8" spans="1:10">
      <c r="A260" s="12"/>
      <c r="B260" s="12"/>
      <c r="C260" s="13" t="s">
        <v>805</v>
      </c>
      <c r="D260" s="14" t="s">
        <v>20</v>
      </c>
      <c r="E260" s="14" t="s">
        <v>84</v>
      </c>
      <c r="F260" s="13" t="s">
        <v>86</v>
      </c>
      <c r="G260" s="12" t="s">
        <v>49</v>
      </c>
      <c r="H260" s="15"/>
      <c r="I260" s="15"/>
      <c r="J260" s="15">
        <f t="shared" si="8"/>
        <v>0</v>
      </c>
    </row>
    <row r="261" ht="28.8" spans="1:10">
      <c r="A261" s="12"/>
      <c r="B261" s="12"/>
      <c r="C261" s="13" t="s">
        <v>805</v>
      </c>
      <c r="D261" s="14" t="s">
        <v>20</v>
      </c>
      <c r="E261" s="14" t="s">
        <v>84</v>
      </c>
      <c r="F261" s="13" t="s">
        <v>88</v>
      </c>
      <c r="G261" s="12" t="s">
        <v>49</v>
      </c>
      <c r="H261" s="15"/>
      <c r="I261" s="15"/>
      <c r="J261" s="15">
        <f t="shared" si="8"/>
        <v>0</v>
      </c>
    </row>
    <row r="262" ht="28.8" spans="1:10">
      <c r="A262" s="12"/>
      <c r="B262" s="12"/>
      <c r="C262" s="13" t="s">
        <v>805</v>
      </c>
      <c r="D262" s="14" t="s">
        <v>20</v>
      </c>
      <c r="E262" s="14" t="s">
        <v>84</v>
      </c>
      <c r="F262" s="13" t="s">
        <v>89</v>
      </c>
      <c r="G262" s="12" t="s">
        <v>49</v>
      </c>
      <c r="H262" s="15"/>
      <c r="I262" s="15"/>
      <c r="J262" s="15">
        <f t="shared" si="8"/>
        <v>0</v>
      </c>
    </row>
    <row r="263" ht="28.8" spans="1:10">
      <c r="A263" s="12"/>
      <c r="B263" s="12"/>
      <c r="C263" s="13" t="s">
        <v>805</v>
      </c>
      <c r="D263" s="14" t="s">
        <v>20</v>
      </c>
      <c r="E263" s="14" t="s">
        <v>84</v>
      </c>
      <c r="F263" s="13" t="s">
        <v>608</v>
      </c>
      <c r="G263" s="12" t="s">
        <v>100</v>
      </c>
      <c r="H263" s="15"/>
      <c r="I263" s="15"/>
      <c r="J263" s="15">
        <f t="shared" si="8"/>
        <v>0</v>
      </c>
    </row>
    <row r="264" ht="28.8" spans="1:10">
      <c r="A264" s="12"/>
      <c r="B264" s="12"/>
      <c r="C264" s="13" t="s">
        <v>805</v>
      </c>
      <c r="D264" s="14" t="s">
        <v>20</v>
      </c>
      <c r="E264" s="14" t="s">
        <v>84</v>
      </c>
      <c r="F264" s="13" t="s">
        <v>609</v>
      </c>
      <c r="G264" s="12" t="s">
        <v>63</v>
      </c>
      <c r="H264" s="15"/>
      <c r="I264" s="15"/>
      <c r="J264" s="15">
        <f t="shared" si="8"/>
        <v>0</v>
      </c>
    </row>
    <row r="265" ht="28.8" spans="1:10">
      <c r="A265" s="12"/>
      <c r="B265" s="12"/>
      <c r="C265" s="13" t="s">
        <v>805</v>
      </c>
      <c r="D265" s="14" t="s">
        <v>20</v>
      </c>
      <c r="E265" s="14" t="s">
        <v>84</v>
      </c>
      <c r="F265" s="13" t="s">
        <v>610</v>
      </c>
      <c r="G265" s="12" t="s">
        <v>611</v>
      </c>
      <c r="H265" s="15"/>
      <c r="I265" s="15"/>
      <c r="J265" s="15">
        <f t="shared" si="8"/>
        <v>0</v>
      </c>
    </row>
    <row r="266" ht="28.8" spans="1:10">
      <c r="A266" s="12"/>
      <c r="B266" s="12"/>
      <c r="C266" s="13" t="s">
        <v>805</v>
      </c>
      <c r="D266" s="14" t="s">
        <v>20</v>
      </c>
      <c r="E266" s="14" t="s">
        <v>84</v>
      </c>
      <c r="F266" s="13" t="s">
        <v>612</v>
      </c>
      <c r="G266" s="12" t="s">
        <v>611</v>
      </c>
      <c r="H266" s="15"/>
      <c r="I266" s="15"/>
      <c r="J266" s="15">
        <f t="shared" si="8"/>
        <v>0</v>
      </c>
    </row>
    <row r="267" ht="43.2" spans="1:10">
      <c r="A267" s="12"/>
      <c r="B267" s="12"/>
      <c r="C267" s="13" t="s">
        <v>807</v>
      </c>
      <c r="D267" s="14" t="s">
        <v>20</v>
      </c>
      <c r="E267" s="14" t="s">
        <v>47</v>
      </c>
      <c r="F267" s="13" t="s">
        <v>48</v>
      </c>
      <c r="G267" s="12" t="s">
        <v>49</v>
      </c>
      <c r="H267" s="15"/>
      <c r="I267" s="15"/>
      <c r="J267" s="15">
        <f t="shared" si="8"/>
        <v>0</v>
      </c>
    </row>
    <row r="268" ht="43.2" spans="1:10">
      <c r="A268" s="12"/>
      <c r="B268" s="12"/>
      <c r="C268" s="13" t="s">
        <v>807</v>
      </c>
      <c r="D268" s="14" t="s">
        <v>20</v>
      </c>
      <c r="E268" s="14" t="s">
        <v>624</v>
      </c>
      <c r="F268" s="13" t="s">
        <v>625</v>
      </c>
      <c r="G268" s="12" t="s">
        <v>23</v>
      </c>
      <c r="H268" s="15"/>
      <c r="I268" s="15"/>
      <c r="J268" s="15">
        <f t="shared" si="8"/>
        <v>0</v>
      </c>
    </row>
    <row r="269" ht="43.2" spans="1:10">
      <c r="A269" s="12"/>
      <c r="B269" s="12"/>
      <c r="C269" s="13" t="s">
        <v>807</v>
      </c>
      <c r="D269" s="14" t="s">
        <v>20</v>
      </c>
      <c r="E269" s="14" t="s">
        <v>624</v>
      </c>
      <c r="F269" s="13" t="s">
        <v>626</v>
      </c>
      <c r="G269" s="12" t="s">
        <v>23</v>
      </c>
      <c r="H269" s="15"/>
      <c r="I269" s="15"/>
      <c r="J269" s="15">
        <f t="shared" si="8"/>
        <v>0</v>
      </c>
    </row>
    <row r="270" ht="43.2" spans="1:10">
      <c r="A270" s="12"/>
      <c r="B270" s="12"/>
      <c r="C270" s="13" t="s">
        <v>807</v>
      </c>
      <c r="D270" s="14" t="s">
        <v>20</v>
      </c>
      <c r="E270" s="14" t="s">
        <v>624</v>
      </c>
      <c r="F270" s="13" t="s">
        <v>627</v>
      </c>
      <c r="G270" s="12" t="s">
        <v>23</v>
      </c>
      <c r="H270" s="15"/>
      <c r="I270" s="15"/>
      <c r="J270" s="15">
        <f t="shared" si="8"/>
        <v>0</v>
      </c>
    </row>
    <row r="271" ht="43.2" spans="1:10">
      <c r="A271" s="12"/>
      <c r="B271" s="12"/>
      <c r="C271" s="13" t="s">
        <v>807</v>
      </c>
      <c r="D271" s="14" t="s">
        <v>20</v>
      </c>
      <c r="E271" s="14" t="s">
        <v>624</v>
      </c>
      <c r="F271" s="13" t="s">
        <v>628</v>
      </c>
      <c r="G271" s="12" t="s">
        <v>23</v>
      </c>
      <c r="H271" s="15"/>
      <c r="I271" s="15"/>
      <c r="J271" s="15">
        <f t="shared" si="8"/>
        <v>0</v>
      </c>
    </row>
    <row r="272" ht="43.2" spans="1:10">
      <c r="A272" s="12"/>
      <c r="B272" s="12"/>
      <c r="C272" s="13" t="s">
        <v>807</v>
      </c>
      <c r="D272" s="14" t="s">
        <v>11</v>
      </c>
      <c r="E272" s="14" t="s">
        <v>630</v>
      </c>
      <c r="F272" s="13" t="s">
        <v>631</v>
      </c>
      <c r="G272" s="12" t="s">
        <v>17</v>
      </c>
      <c r="H272" s="15"/>
      <c r="I272" s="15"/>
      <c r="J272" s="15">
        <f t="shared" si="8"/>
        <v>0</v>
      </c>
    </row>
    <row r="273" ht="43.2" spans="1:10">
      <c r="A273" s="12"/>
      <c r="B273" s="12"/>
      <c r="C273" s="13" t="s">
        <v>809</v>
      </c>
      <c r="D273" s="14" t="s">
        <v>20</v>
      </c>
      <c r="E273" s="14" t="s">
        <v>47</v>
      </c>
      <c r="F273" s="13" t="s">
        <v>48</v>
      </c>
      <c r="G273" s="12" t="s">
        <v>49</v>
      </c>
      <c r="H273" s="15"/>
      <c r="I273" s="15"/>
      <c r="J273" s="15">
        <f t="shared" si="8"/>
        <v>0</v>
      </c>
    </row>
    <row r="274" ht="43.2" spans="1:10">
      <c r="A274" s="12"/>
      <c r="B274" s="12"/>
      <c r="C274" s="13" t="s">
        <v>809</v>
      </c>
      <c r="D274" s="14" t="s">
        <v>20</v>
      </c>
      <c r="E274" s="14" t="s">
        <v>624</v>
      </c>
      <c r="F274" s="13" t="s">
        <v>625</v>
      </c>
      <c r="G274" s="12" t="s">
        <v>23</v>
      </c>
      <c r="H274" s="15"/>
      <c r="I274" s="15"/>
      <c r="J274" s="15">
        <f t="shared" si="8"/>
        <v>0</v>
      </c>
    </row>
    <row r="275" ht="43.2" spans="1:10">
      <c r="A275" s="12"/>
      <c r="B275" s="12"/>
      <c r="C275" s="13" t="s">
        <v>809</v>
      </c>
      <c r="D275" s="14" t="s">
        <v>20</v>
      </c>
      <c r="E275" s="14" t="s">
        <v>624</v>
      </c>
      <c r="F275" s="13" t="s">
        <v>626</v>
      </c>
      <c r="G275" s="12" t="s">
        <v>23</v>
      </c>
      <c r="H275" s="15"/>
      <c r="I275" s="15"/>
      <c r="J275" s="15">
        <f t="shared" si="8"/>
        <v>0</v>
      </c>
    </row>
    <row r="276" ht="43.2" spans="1:10">
      <c r="A276" s="12"/>
      <c r="B276" s="12"/>
      <c r="C276" s="13" t="s">
        <v>809</v>
      </c>
      <c r="D276" s="14" t="s">
        <v>20</v>
      </c>
      <c r="E276" s="14" t="s">
        <v>624</v>
      </c>
      <c r="F276" s="13" t="s">
        <v>627</v>
      </c>
      <c r="G276" s="12" t="s">
        <v>23</v>
      </c>
      <c r="H276" s="15"/>
      <c r="I276" s="15"/>
      <c r="J276" s="15">
        <f t="shared" si="8"/>
        <v>0</v>
      </c>
    </row>
    <row r="277" ht="43.2" spans="1:10">
      <c r="A277" s="12"/>
      <c r="B277" s="12"/>
      <c r="C277" s="13" t="s">
        <v>809</v>
      </c>
      <c r="D277" s="14" t="s">
        <v>20</v>
      </c>
      <c r="E277" s="14" t="s">
        <v>624</v>
      </c>
      <c r="F277" s="13" t="s">
        <v>628</v>
      </c>
      <c r="G277" s="12" t="s">
        <v>23</v>
      </c>
      <c r="H277" s="15"/>
      <c r="I277" s="15"/>
      <c r="J277" s="15">
        <f t="shared" si="8"/>
        <v>0</v>
      </c>
    </row>
    <row r="278" ht="43.2" spans="1:10">
      <c r="A278" s="12"/>
      <c r="B278" s="12"/>
      <c r="C278" s="13" t="s">
        <v>809</v>
      </c>
      <c r="D278" s="14" t="s">
        <v>11</v>
      </c>
      <c r="E278" s="14" t="s">
        <v>630</v>
      </c>
      <c r="F278" s="13" t="s">
        <v>631</v>
      </c>
      <c r="G278" s="12" t="s">
        <v>17</v>
      </c>
      <c r="H278" s="15"/>
      <c r="I278" s="15"/>
      <c r="J278" s="15">
        <f t="shared" si="8"/>
        <v>0</v>
      </c>
    </row>
    <row r="279" ht="43.2" spans="1:10">
      <c r="A279" s="12"/>
      <c r="B279" s="12"/>
      <c r="C279" s="13" t="s">
        <v>811</v>
      </c>
      <c r="D279" s="14" t="s">
        <v>20</v>
      </c>
      <c r="E279" s="14" t="s">
        <v>47</v>
      </c>
      <c r="F279" s="13" t="s">
        <v>48</v>
      </c>
      <c r="G279" s="12" t="s">
        <v>49</v>
      </c>
      <c r="H279" s="15"/>
      <c r="I279" s="15"/>
      <c r="J279" s="15">
        <f t="shared" si="8"/>
        <v>0</v>
      </c>
    </row>
    <row r="280" ht="43.2" spans="1:10">
      <c r="A280" s="12"/>
      <c r="B280" s="12"/>
      <c r="C280" s="13" t="s">
        <v>811</v>
      </c>
      <c r="D280" s="14" t="s">
        <v>20</v>
      </c>
      <c r="E280" s="14" t="s">
        <v>624</v>
      </c>
      <c r="F280" s="13" t="s">
        <v>625</v>
      </c>
      <c r="G280" s="12" t="s">
        <v>23</v>
      </c>
      <c r="H280" s="15"/>
      <c r="I280" s="15"/>
      <c r="J280" s="15">
        <f t="shared" si="8"/>
        <v>0</v>
      </c>
    </row>
    <row r="281" ht="43.2" spans="1:10">
      <c r="A281" s="12"/>
      <c r="B281" s="12"/>
      <c r="C281" s="13" t="s">
        <v>811</v>
      </c>
      <c r="D281" s="14" t="s">
        <v>20</v>
      </c>
      <c r="E281" s="14" t="s">
        <v>624</v>
      </c>
      <c r="F281" s="13" t="s">
        <v>626</v>
      </c>
      <c r="G281" s="12" t="s">
        <v>23</v>
      </c>
      <c r="H281" s="15"/>
      <c r="I281" s="15"/>
      <c r="J281" s="15">
        <f t="shared" si="8"/>
        <v>0</v>
      </c>
    </row>
    <row r="282" ht="43.2" spans="1:10">
      <c r="A282" s="12"/>
      <c r="B282" s="12"/>
      <c r="C282" s="13" t="s">
        <v>811</v>
      </c>
      <c r="D282" s="14" t="s">
        <v>20</v>
      </c>
      <c r="E282" s="14" t="s">
        <v>624</v>
      </c>
      <c r="F282" s="13" t="s">
        <v>627</v>
      </c>
      <c r="G282" s="12" t="s">
        <v>23</v>
      </c>
      <c r="H282" s="15"/>
      <c r="I282" s="15"/>
      <c r="J282" s="15">
        <f t="shared" si="8"/>
        <v>0</v>
      </c>
    </row>
    <row r="283" ht="43.2" spans="1:10">
      <c r="A283" s="12"/>
      <c r="B283" s="12"/>
      <c r="C283" s="13" t="s">
        <v>811</v>
      </c>
      <c r="D283" s="14" t="s">
        <v>20</v>
      </c>
      <c r="E283" s="14" t="s">
        <v>624</v>
      </c>
      <c r="F283" s="13" t="s">
        <v>628</v>
      </c>
      <c r="G283" s="12" t="s">
        <v>23</v>
      </c>
      <c r="H283" s="15"/>
      <c r="I283" s="15"/>
      <c r="J283" s="15">
        <f t="shared" si="8"/>
        <v>0</v>
      </c>
    </row>
    <row r="284" ht="43.2" spans="1:10">
      <c r="A284" s="12"/>
      <c r="B284" s="12"/>
      <c r="C284" s="13" t="s">
        <v>811</v>
      </c>
      <c r="D284" s="14" t="s">
        <v>11</v>
      </c>
      <c r="E284" s="14" t="s">
        <v>630</v>
      </c>
      <c r="F284" s="13" t="s">
        <v>631</v>
      </c>
      <c r="G284" s="12" t="s">
        <v>17</v>
      </c>
      <c r="H284" s="15"/>
      <c r="I284" s="15"/>
      <c r="J284" s="15">
        <f t="shared" si="8"/>
        <v>0</v>
      </c>
    </row>
    <row r="285" ht="43.2" spans="1:10">
      <c r="A285" s="12"/>
      <c r="B285" s="12"/>
      <c r="C285" s="13" t="s">
        <v>813</v>
      </c>
      <c r="D285" s="14" t="s">
        <v>20</v>
      </c>
      <c r="E285" s="14" t="s">
        <v>47</v>
      </c>
      <c r="F285" s="13" t="s">
        <v>48</v>
      </c>
      <c r="G285" s="12" t="s">
        <v>49</v>
      </c>
      <c r="H285" s="15"/>
      <c r="I285" s="15"/>
      <c r="J285" s="15">
        <f t="shared" si="8"/>
        <v>0</v>
      </c>
    </row>
    <row r="286" ht="43.2" spans="1:10">
      <c r="A286" s="12"/>
      <c r="B286" s="12"/>
      <c r="C286" s="13" t="s">
        <v>813</v>
      </c>
      <c r="D286" s="14" t="s">
        <v>20</v>
      </c>
      <c r="E286" s="14" t="s">
        <v>624</v>
      </c>
      <c r="F286" s="13" t="s">
        <v>625</v>
      </c>
      <c r="G286" s="12" t="s">
        <v>23</v>
      </c>
      <c r="H286" s="15"/>
      <c r="I286" s="15"/>
      <c r="J286" s="15">
        <f t="shared" si="8"/>
        <v>0</v>
      </c>
    </row>
    <row r="287" ht="43.2" spans="1:10">
      <c r="A287" s="12"/>
      <c r="B287" s="12"/>
      <c r="C287" s="13" t="s">
        <v>813</v>
      </c>
      <c r="D287" s="14" t="s">
        <v>20</v>
      </c>
      <c r="E287" s="14" t="s">
        <v>624</v>
      </c>
      <c r="F287" s="13" t="s">
        <v>626</v>
      </c>
      <c r="G287" s="12" t="s">
        <v>23</v>
      </c>
      <c r="H287" s="15"/>
      <c r="I287" s="15"/>
      <c r="J287" s="15">
        <f t="shared" si="8"/>
        <v>0</v>
      </c>
    </row>
    <row r="288" ht="43.2" spans="1:10">
      <c r="A288" s="12"/>
      <c r="B288" s="12"/>
      <c r="C288" s="13" t="s">
        <v>813</v>
      </c>
      <c r="D288" s="14" t="s">
        <v>20</v>
      </c>
      <c r="E288" s="14" t="s">
        <v>624</v>
      </c>
      <c r="F288" s="13" t="s">
        <v>627</v>
      </c>
      <c r="G288" s="12" t="s">
        <v>23</v>
      </c>
      <c r="H288" s="15"/>
      <c r="I288" s="15"/>
      <c r="J288" s="15">
        <f t="shared" si="8"/>
        <v>0</v>
      </c>
    </row>
    <row r="289" ht="43.2" spans="1:10">
      <c r="A289" s="12"/>
      <c r="B289" s="12"/>
      <c r="C289" s="13" t="s">
        <v>813</v>
      </c>
      <c r="D289" s="14" t="s">
        <v>20</v>
      </c>
      <c r="E289" s="14" t="s">
        <v>624</v>
      </c>
      <c r="F289" s="13" t="s">
        <v>628</v>
      </c>
      <c r="G289" s="12" t="s">
        <v>23</v>
      </c>
      <c r="H289" s="15"/>
      <c r="I289" s="15"/>
      <c r="J289" s="15">
        <f t="shared" si="8"/>
        <v>0</v>
      </c>
    </row>
    <row r="290" ht="43.2" spans="1:10">
      <c r="A290" s="12"/>
      <c r="B290" s="12"/>
      <c r="C290" s="13" t="s">
        <v>813</v>
      </c>
      <c r="D290" s="14" t="s">
        <v>11</v>
      </c>
      <c r="E290" s="14" t="s">
        <v>630</v>
      </c>
      <c r="F290" s="13" t="s">
        <v>631</v>
      </c>
      <c r="G290" s="12" t="s">
        <v>17</v>
      </c>
      <c r="H290" s="15"/>
      <c r="I290" s="15"/>
      <c r="J290" s="15">
        <f t="shared" si="8"/>
        <v>0</v>
      </c>
    </row>
    <row r="291" ht="43.2" spans="1:10">
      <c r="A291" s="12"/>
      <c r="B291" s="12"/>
      <c r="C291" s="13" t="s">
        <v>815</v>
      </c>
      <c r="D291" s="14" t="s">
        <v>20</v>
      </c>
      <c r="E291" s="14" t="s">
        <v>47</v>
      </c>
      <c r="F291" s="13" t="s">
        <v>48</v>
      </c>
      <c r="G291" s="12" t="s">
        <v>49</v>
      </c>
      <c r="H291" s="15"/>
      <c r="I291" s="15"/>
      <c r="J291" s="15">
        <f t="shared" si="8"/>
        <v>0</v>
      </c>
    </row>
    <row r="292" ht="43.2" spans="1:10">
      <c r="A292" s="12"/>
      <c r="B292" s="12"/>
      <c r="C292" s="13" t="s">
        <v>815</v>
      </c>
      <c r="D292" s="14" t="s">
        <v>20</v>
      </c>
      <c r="E292" s="14" t="s">
        <v>624</v>
      </c>
      <c r="F292" s="13" t="s">
        <v>625</v>
      </c>
      <c r="G292" s="12" t="s">
        <v>23</v>
      </c>
      <c r="H292" s="15"/>
      <c r="I292" s="15"/>
      <c r="J292" s="15">
        <f t="shared" si="8"/>
        <v>0</v>
      </c>
    </row>
    <row r="293" ht="43.2" spans="1:10">
      <c r="A293" s="12"/>
      <c r="B293" s="12"/>
      <c r="C293" s="13" t="s">
        <v>815</v>
      </c>
      <c r="D293" s="14" t="s">
        <v>20</v>
      </c>
      <c r="E293" s="14" t="s">
        <v>624</v>
      </c>
      <c r="F293" s="13" t="s">
        <v>626</v>
      </c>
      <c r="G293" s="12" t="s">
        <v>23</v>
      </c>
      <c r="H293" s="15"/>
      <c r="I293" s="15"/>
      <c r="J293" s="15">
        <f t="shared" si="8"/>
        <v>0</v>
      </c>
    </row>
    <row r="294" ht="43.2" spans="1:10">
      <c r="A294" s="12"/>
      <c r="B294" s="12"/>
      <c r="C294" s="13" t="s">
        <v>815</v>
      </c>
      <c r="D294" s="14" t="s">
        <v>20</v>
      </c>
      <c r="E294" s="14" t="s">
        <v>624</v>
      </c>
      <c r="F294" s="13" t="s">
        <v>627</v>
      </c>
      <c r="G294" s="12" t="s">
        <v>23</v>
      </c>
      <c r="H294" s="15"/>
      <c r="I294" s="15"/>
      <c r="J294" s="15">
        <f t="shared" si="8"/>
        <v>0</v>
      </c>
    </row>
    <row r="295" ht="43.2" spans="1:10">
      <c r="A295" s="12"/>
      <c r="B295" s="12"/>
      <c r="C295" s="13" t="s">
        <v>815</v>
      </c>
      <c r="D295" s="14" t="s">
        <v>20</v>
      </c>
      <c r="E295" s="14" t="s">
        <v>624</v>
      </c>
      <c r="F295" s="13" t="s">
        <v>628</v>
      </c>
      <c r="G295" s="12" t="s">
        <v>23</v>
      </c>
      <c r="H295" s="15"/>
      <c r="I295" s="15"/>
      <c r="J295" s="15">
        <f t="shared" si="8"/>
        <v>0</v>
      </c>
    </row>
    <row r="296" ht="43.2" spans="1:10">
      <c r="A296" s="12"/>
      <c r="B296" s="12"/>
      <c r="C296" s="13" t="s">
        <v>815</v>
      </c>
      <c r="D296" s="14" t="s">
        <v>11</v>
      </c>
      <c r="E296" s="14" t="s">
        <v>630</v>
      </c>
      <c r="F296" s="13" t="s">
        <v>631</v>
      </c>
      <c r="G296" s="12" t="s">
        <v>17</v>
      </c>
      <c r="H296" s="15"/>
      <c r="I296" s="15"/>
      <c r="J296" s="15">
        <f t="shared" si="8"/>
        <v>0</v>
      </c>
    </row>
    <row r="297" ht="43.2" spans="1:10">
      <c r="A297" s="12"/>
      <c r="B297" s="12"/>
      <c r="C297" s="13" t="s">
        <v>817</v>
      </c>
      <c r="D297" s="14" t="s">
        <v>20</v>
      </c>
      <c r="E297" s="14" t="s">
        <v>47</v>
      </c>
      <c r="F297" s="13" t="s">
        <v>48</v>
      </c>
      <c r="G297" s="12" t="s">
        <v>49</v>
      </c>
      <c r="H297" s="15"/>
      <c r="I297" s="15"/>
      <c r="J297" s="15">
        <f t="shared" si="8"/>
        <v>0</v>
      </c>
    </row>
    <row r="298" ht="43.2" spans="1:10">
      <c r="A298" s="12"/>
      <c r="B298" s="12"/>
      <c r="C298" s="13" t="s">
        <v>817</v>
      </c>
      <c r="D298" s="14" t="s">
        <v>20</v>
      </c>
      <c r="E298" s="14" t="s">
        <v>624</v>
      </c>
      <c r="F298" s="13" t="s">
        <v>625</v>
      </c>
      <c r="G298" s="12" t="s">
        <v>23</v>
      </c>
      <c r="H298" s="15"/>
      <c r="I298" s="15"/>
      <c r="J298" s="15">
        <f t="shared" si="8"/>
        <v>0</v>
      </c>
    </row>
    <row r="299" ht="43.2" spans="1:10">
      <c r="A299" s="12"/>
      <c r="B299" s="12"/>
      <c r="C299" s="13" t="s">
        <v>817</v>
      </c>
      <c r="D299" s="14" t="s">
        <v>20</v>
      </c>
      <c r="E299" s="14" t="s">
        <v>624</v>
      </c>
      <c r="F299" s="13" t="s">
        <v>626</v>
      </c>
      <c r="G299" s="12" t="s">
        <v>23</v>
      </c>
      <c r="H299" s="15"/>
      <c r="I299" s="15"/>
      <c r="J299" s="15">
        <f t="shared" si="8"/>
        <v>0</v>
      </c>
    </row>
    <row r="300" ht="43.2" spans="1:10">
      <c r="A300" s="12"/>
      <c r="B300" s="12"/>
      <c r="C300" s="13" t="s">
        <v>817</v>
      </c>
      <c r="D300" s="14" t="s">
        <v>20</v>
      </c>
      <c r="E300" s="14" t="s">
        <v>624</v>
      </c>
      <c r="F300" s="13" t="s">
        <v>627</v>
      </c>
      <c r="G300" s="12" t="s">
        <v>23</v>
      </c>
      <c r="H300" s="15"/>
      <c r="I300" s="15"/>
      <c r="J300" s="15">
        <f t="shared" si="8"/>
        <v>0</v>
      </c>
    </row>
    <row r="301" ht="43.2" spans="1:10">
      <c r="A301" s="12"/>
      <c r="B301" s="12"/>
      <c r="C301" s="13" t="s">
        <v>817</v>
      </c>
      <c r="D301" s="14" t="s">
        <v>20</v>
      </c>
      <c r="E301" s="14" t="s">
        <v>624</v>
      </c>
      <c r="F301" s="13" t="s">
        <v>628</v>
      </c>
      <c r="G301" s="12" t="s">
        <v>23</v>
      </c>
      <c r="H301" s="15"/>
      <c r="I301" s="15"/>
      <c r="J301" s="15">
        <f t="shared" si="8"/>
        <v>0</v>
      </c>
    </row>
    <row r="302" ht="43.2" spans="1:10">
      <c r="A302" s="12"/>
      <c r="B302" s="12"/>
      <c r="C302" s="13" t="s">
        <v>817</v>
      </c>
      <c r="D302" s="14" t="s">
        <v>11</v>
      </c>
      <c r="E302" s="14" t="s">
        <v>630</v>
      </c>
      <c r="F302" s="13" t="s">
        <v>631</v>
      </c>
      <c r="G302" s="12" t="s">
        <v>17</v>
      </c>
      <c r="H302" s="15"/>
      <c r="I302" s="15"/>
      <c r="J302" s="15">
        <f t="shared" si="8"/>
        <v>0</v>
      </c>
    </row>
    <row r="303" ht="43.2" spans="1:10">
      <c r="A303" s="12"/>
      <c r="B303" s="12"/>
      <c r="C303" s="13" t="s">
        <v>819</v>
      </c>
      <c r="D303" s="14" t="s">
        <v>20</v>
      </c>
      <c r="E303" s="14" t="s">
        <v>47</v>
      </c>
      <c r="F303" s="13" t="s">
        <v>48</v>
      </c>
      <c r="G303" s="12" t="s">
        <v>49</v>
      </c>
      <c r="H303" s="15"/>
      <c r="I303" s="15"/>
      <c r="J303" s="15">
        <f t="shared" si="8"/>
        <v>0</v>
      </c>
    </row>
    <row r="304" ht="43.2" spans="1:10">
      <c r="A304" s="12"/>
      <c r="B304" s="12"/>
      <c r="C304" s="13" t="s">
        <v>819</v>
      </c>
      <c r="D304" s="14" t="s">
        <v>20</v>
      </c>
      <c r="E304" s="14" t="s">
        <v>624</v>
      </c>
      <c r="F304" s="13" t="s">
        <v>625</v>
      </c>
      <c r="G304" s="12" t="s">
        <v>23</v>
      </c>
      <c r="H304" s="15"/>
      <c r="I304" s="15"/>
      <c r="J304" s="15">
        <f t="shared" si="8"/>
        <v>0</v>
      </c>
    </row>
    <row r="305" ht="43.2" spans="1:10">
      <c r="A305" s="12"/>
      <c r="B305" s="12"/>
      <c r="C305" s="13" t="s">
        <v>819</v>
      </c>
      <c r="D305" s="14" t="s">
        <v>20</v>
      </c>
      <c r="E305" s="14" t="s">
        <v>624</v>
      </c>
      <c r="F305" s="13" t="s">
        <v>626</v>
      </c>
      <c r="G305" s="12" t="s">
        <v>23</v>
      </c>
      <c r="H305" s="15"/>
      <c r="I305" s="15"/>
      <c r="J305" s="15">
        <f t="shared" si="8"/>
        <v>0</v>
      </c>
    </row>
    <row r="306" ht="43.2" spans="1:10">
      <c r="A306" s="12"/>
      <c r="B306" s="12"/>
      <c r="C306" s="13" t="s">
        <v>819</v>
      </c>
      <c r="D306" s="14" t="s">
        <v>20</v>
      </c>
      <c r="E306" s="14" t="s">
        <v>624</v>
      </c>
      <c r="F306" s="13" t="s">
        <v>627</v>
      </c>
      <c r="G306" s="12" t="s">
        <v>23</v>
      </c>
      <c r="H306" s="15"/>
      <c r="I306" s="15"/>
      <c r="J306" s="15">
        <f t="shared" si="8"/>
        <v>0</v>
      </c>
    </row>
    <row r="307" ht="43.2" spans="1:10">
      <c r="A307" s="12"/>
      <c r="B307" s="12"/>
      <c r="C307" s="13" t="s">
        <v>819</v>
      </c>
      <c r="D307" s="14" t="s">
        <v>20</v>
      </c>
      <c r="E307" s="14" t="s">
        <v>624</v>
      </c>
      <c r="F307" s="13" t="s">
        <v>628</v>
      </c>
      <c r="G307" s="12" t="s">
        <v>23</v>
      </c>
      <c r="H307" s="15"/>
      <c r="I307" s="15"/>
      <c r="J307" s="15">
        <f t="shared" si="8"/>
        <v>0</v>
      </c>
    </row>
    <row r="308" ht="43.2" spans="1:10">
      <c r="A308" s="12"/>
      <c r="B308" s="12"/>
      <c r="C308" s="13" t="s">
        <v>819</v>
      </c>
      <c r="D308" s="14" t="s">
        <v>11</v>
      </c>
      <c r="E308" s="14" t="s">
        <v>630</v>
      </c>
      <c r="F308" s="13" t="s">
        <v>631</v>
      </c>
      <c r="G308" s="12" t="s">
        <v>17</v>
      </c>
      <c r="H308" s="15"/>
      <c r="I308" s="15"/>
      <c r="J308" s="15">
        <f t="shared" si="8"/>
        <v>0</v>
      </c>
    </row>
    <row r="309" ht="43.2" spans="1:10">
      <c r="A309" s="12"/>
      <c r="B309" s="12"/>
      <c r="C309" s="13" t="s">
        <v>821</v>
      </c>
      <c r="D309" s="14" t="s">
        <v>20</v>
      </c>
      <c r="E309" s="14" t="s">
        <v>47</v>
      </c>
      <c r="F309" s="13" t="s">
        <v>48</v>
      </c>
      <c r="G309" s="12" t="s">
        <v>49</v>
      </c>
      <c r="H309" s="15"/>
      <c r="I309" s="15"/>
      <c r="J309" s="15">
        <f t="shared" si="8"/>
        <v>0</v>
      </c>
    </row>
    <row r="310" ht="43.2" spans="1:10">
      <c r="A310" s="12"/>
      <c r="B310" s="12"/>
      <c r="C310" s="13" t="s">
        <v>821</v>
      </c>
      <c r="D310" s="14" t="s">
        <v>20</v>
      </c>
      <c r="E310" s="14" t="s">
        <v>624</v>
      </c>
      <c r="F310" s="13" t="s">
        <v>625</v>
      </c>
      <c r="G310" s="12" t="s">
        <v>23</v>
      </c>
      <c r="H310" s="15"/>
      <c r="I310" s="15"/>
      <c r="J310" s="15">
        <f t="shared" si="8"/>
        <v>0</v>
      </c>
    </row>
    <row r="311" ht="43.2" spans="1:10">
      <c r="A311" s="12"/>
      <c r="B311" s="12"/>
      <c r="C311" s="13" t="s">
        <v>821</v>
      </c>
      <c r="D311" s="14" t="s">
        <v>20</v>
      </c>
      <c r="E311" s="14" t="s">
        <v>624</v>
      </c>
      <c r="F311" s="13" t="s">
        <v>626</v>
      </c>
      <c r="G311" s="12" t="s">
        <v>23</v>
      </c>
      <c r="H311" s="15"/>
      <c r="I311" s="15"/>
      <c r="J311" s="15">
        <f t="shared" si="8"/>
        <v>0</v>
      </c>
    </row>
    <row r="312" ht="43.2" spans="1:10">
      <c r="A312" s="12"/>
      <c r="B312" s="12"/>
      <c r="C312" s="13" t="s">
        <v>821</v>
      </c>
      <c r="D312" s="14" t="s">
        <v>20</v>
      </c>
      <c r="E312" s="14" t="s">
        <v>624</v>
      </c>
      <c r="F312" s="13" t="s">
        <v>627</v>
      </c>
      <c r="G312" s="12" t="s">
        <v>23</v>
      </c>
      <c r="H312" s="15"/>
      <c r="I312" s="15"/>
      <c r="J312" s="15">
        <f t="shared" si="8"/>
        <v>0</v>
      </c>
    </row>
    <row r="313" ht="43.2" spans="1:10">
      <c r="A313" s="12"/>
      <c r="B313" s="12"/>
      <c r="C313" s="13" t="s">
        <v>821</v>
      </c>
      <c r="D313" s="14" t="s">
        <v>20</v>
      </c>
      <c r="E313" s="14" t="s">
        <v>624</v>
      </c>
      <c r="F313" s="13" t="s">
        <v>628</v>
      </c>
      <c r="G313" s="12" t="s">
        <v>23</v>
      </c>
      <c r="H313" s="15"/>
      <c r="I313" s="15"/>
      <c r="J313" s="15">
        <f t="shared" si="8"/>
        <v>0</v>
      </c>
    </row>
    <row r="314" ht="43.2" spans="1:10">
      <c r="A314" s="12"/>
      <c r="B314" s="12"/>
      <c r="C314" s="13" t="s">
        <v>821</v>
      </c>
      <c r="D314" s="14" t="s">
        <v>11</v>
      </c>
      <c r="E314" s="14" t="s">
        <v>630</v>
      </c>
      <c r="F314" s="13" t="s">
        <v>631</v>
      </c>
      <c r="G314" s="12" t="s">
        <v>17</v>
      </c>
      <c r="H314" s="15"/>
      <c r="I314" s="15"/>
      <c r="J314" s="15">
        <f t="shared" si="8"/>
        <v>0</v>
      </c>
    </row>
    <row r="315" ht="43.2" spans="1:10">
      <c r="A315" s="12"/>
      <c r="B315" s="12"/>
      <c r="C315" s="13" t="s">
        <v>823</v>
      </c>
      <c r="D315" s="14" t="s">
        <v>20</v>
      </c>
      <c r="E315" s="14" t="s">
        <v>47</v>
      </c>
      <c r="F315" s="13" t="s">
        <v>48</v>
      </c>
      <c r="G315" s="12" t="s">
        <v>49</v>
      </c>
      <c r="H315" s="15"/>
      <c r="I315" s="15"/>
      <c r="J315" s="15">
        <f t="shared" si="8"/>
        <v>0</v>
      </c>
    </row>
    <row r="316" ht="43.2" spans="1:10">
      <c r="A316" s="12"/>
      <c r="B316" s="12"/>
      <c r="C316" s="13" t="s">
        <v>823</v>
      </c>
      <c r="D316" s="14" t="s">
        <v>20</v>
      </c>
      <c r="E316" s="14" t="s">
        <v>624</v>
      </c>
      <c r="F316" s="13" t="s">
        <v>625</v>
      </c>
      <c r="G316" s="12" t="s">
        <v>23</v>
      </c>
      <c r="H316" s="15"/>
      <c r="I316" s="15"/>
      <c r="J316" s="15">
        <f t="shared" si="8"/>
        <v>0</v>
      </c>
    </row>
    <row r="317" ht="43.2" spans="1:10">
      <c r="A317" s="12"/>
      <c r="B317" s="12"/>
      <c r="C317" s="13" t="s">
        <v>823</v>
      </c>
      <c r="D317" s="14" t="s">
        <v>20</v>
      </c>
      <c r="E317" s="14" t="s">
        <v>624</v>
      </c>
      <c r="F317" s="13" t="s">
        <v>626</v>
      </c>
      <c r="G317" s="12" t="s">
        <v>23</v>
      </c>
      <c r="H317" s="15"/>
      <c r="I317" s="15"/>
      <c r="J317" s="15">
        <f t="shared" si="8"/>
        <v>0</v>
      </c>
    </row>
    <row r="318" ht="43.2" spans="1:10">
      <c r="A318" s="12"/>
      <c r="B318" s="12"/>
      <c r="C318" s="13" t="s">
        <v>823</v>
      </c>
      <c r="D318" s="14" t="s">
        <v>20</v>
      </c>
      <c r="E318" s="14" t="s">
        <v>624</v>
      </c>
      <c r="F318" s="13" t="s">
        <v>627</v>
      </c>
      <c r="G318" s="12" t="s">
        <v>23</v>
      </c>
      <c r="H318" s="15"/>
      <c r="I318" s="15"/>
      <c r="J318" s="15">
        <f t="shared" ref="J318:J381" si="9">+ROUND(PRODUCT(H318*I318),0)</f>
        <v>0</v>
      </c>
    </row>
    <row r="319" ht="43.2" spans="1:10">
      <c r="A319" s="12"/>
      <c r="B319" s="12"/>
      <c r="C319" s="13" t="s">
        <v>823</v>
      </c>
      <c r="D319" s="14" t="s">
        <v>20</v>
      </c>
      <c r="E319" s="14" t="s">
        <v>624</v>
      </c>
      <c r="F319" s="13" t="s">
        <v>628</v>
      </c>
      <c r="G319" s="12" t="s">
        <v>23</v>
      </c>
      <c r="H319" s="15"/>
      <c r="I319" s="15"/>
      <c r="J319" s="15">
        <f t="shared" si="9"/>
        <v>0</v>
      </c>
    </row>
    <row r="320" ht="43.2" spans="1:10">
      <c r="A320" s="12"/>
      <c r="B320" s="12"/>
      <c r="C320" s="13" t="s">
        <v>823</v>
      </c>
      <c r="D320" s="14" t="s">
        <v>11</v>
      </c>
      <c r="E320" s="14" t="s">
        <v>630</v>
      </c>
      <c r="F320" s="13" t="s">
        <v>631</v>
      </c>
      <c r="G320" s="12" t="s">
        <v>17</v>
      </c>
      <c r="H320" s="15"/>
      <c r="I320" s="15"/>
      <c r="J320" s="15">
        <f t="shared" si="9"/>
        <v>0</v>
      </c>
    </row>
    <row r="321" ht="28.8" spans="1:10">
      <c r="A321" s="12"/>
      <c r="B321" s="12"/>
      <c r="C321" s="13" t="s">
        <v>825</v>
      </c>
      <c r="D321" s="14" t="s">
        <v>11</v>
      </c>
      <c r="E321" s="14" t="s">
        <v>634</v>
      </c>
      <c r="F321" s="13" t="s">
        <v>635</v>
      </c>
      <c r="G321" s="12" t="s">
        <v>23</v>
      </c>
      <c r="H321" s="15"/>
      <c r="I321" s="15"/>
      <c r="J321" s="15">
        <f t="shared" si="9"/>
        <v>0</v>
      </c>
    </row>
    <row r="322" ht="28.8" spans="1:10">
      <c r="A322" s="12"/>
      <c r="B322" s="12"/>
      <c r="C322" s="13" t="s">
        <v>825</v>
      </c>
      <c r="D322" s="14" t="s">
        <v>20</v>
      </c>
      <c r="E322" s="14" t="s">
        <v>636</v>
      </c>
      <c r="F322" s="13" t="s">
        <v>637</v>
      </c>
      <c r="G322" s="12" t="s">
        <v>23</v>
      </c>
      <c r="H322" s="15"/>
      <c r="I322" s="15"/>
      <c r="J322" s="15">
        <f t="shared" si="9"/>
        <v>0</v>
      </c>
    </row>
    <row r="323" ht="28.8" spans="1:10">
      <c r="A323" s="12"/>
      <c r="B323" s="12"/>
      <c r="C323" s="13" t="s">
        <v>827</v>
      </c>
      <c r="D323" s="14" t="s">
        <v>11</v>
      </c>
      <c r="E323" s="14" t="s">
        <v>634</v>
      </c>
      <c r="F323" s="13" t="s">
        <v>640</v>
      </c>
      <c r="G323" s="12" t="s">
        <v>23</v>
      </c>
      <c r="H323" s="15"/>
      <c r="I323" s="15"/>
      <c r="J323" s="15">
        <f t="shared" si="9"/>
        <v>0</v>
      </c>
    </row>
    <row r="324" ht="28.8" spans="1:10">
      <c r="A324" s="12"/>
      <c r="B324" s="12"/>
      <c r="C324" s="13" t="s">
        <v>827</v>
      </c>
      <c r="D324" s="14" t="s">
        <v>20</v>
      </c>
      <c r="E324" s="14" t="s">
        <v>636</v>
      </c>
      <c r="F324" s="13" t="s">
        <v>641</v>
      </c>
      <c r="G324" s="12" t="s">
        <v>23</v>
      </c>
      <c r="H324" s="15"/>
      <c r="I324" s="15"/>
      <c r="J324" s="15">
        <f t="shared" si="9"/>
        <v>0</v>
      </c>
    </row>
    <row r="325" ht="28.8" spans="1:10">
      <c r="A325" s="12"/>
      <c r="B325" s="12"/>
      <c r="C325" s="13" t="s">
        <v>829</v>
      </c>
      <c r="D325" s="14" t="s">
        <v>11</v>
      </c>
      <c r="E325" s="14" t="s">
        <v>634</v>
      </c>
      <c r="F325" s="13" t="s">
        <v>650</v>
      </c>
      <c r="G325" s="12" t="s">
        <v>23</v>
      </c>
      <c r="H325" s="15"/>
      <c r="I325" s="15"/>
      <c r="J325" s="15">
        <f t="shared" si="9"/>
        <v>0</v>
      </c>
    </row>
    <row r="326" ht="28.8" spans="1:10">
      <c r="A326" s="12"/>
      <c r="B326" s="12"/>
      <c r="C326" s="13" t="s">
        <v>829</v>
      </c>
      <c r="D326" s="14" t="s">
        <v>20</v>
      </c>
      <c r="E326" s="14" t="s">
        <v>636</v>
      </c>
      <c r="F326" s="13" t="s">
        <v>644</v>
      </c>
      <c r="G326" s="12" t="s">
        <v>23</v>
      </c>
      <c r="H326" s="15"/>
      <c r="I326" s="15"/>
      <c r="J326" s="15">
        <f t="shared" si="9"/>
        <v>0</v>
      </c>
    </row>
    <row r="327" ht="28.8" spans="1:10">
      <c r="A327" s="12"/>
      <c r="B327" s="12"/>
      <c r="C327" s="13" t="s">
        <v>831</v>
      </c>
      <c r="D327" s="14" t="s">
        <v>11</v>
      </c>
      <c r="E327" s="14" t="s">
        <v>634</v>
      </c>
      <c r="F327" s="13" t="s">
        <v>635</v>
      </c>
      <c r="G327" s="12" t="s">
        <v>23</v>
      </c>
      <c r="H327" s="15"/>
      <c r="I327" s="15"/>
      <c r="J327" s="15">
        <f t="shared" si="9"/>
        <v>0</v>
      </c>
    </row>
    <row r="328" ht="28.8" spans="1:10">
      <c r="A328" s="12"/>
      <c r="B328" s="12"/>
      <c r="C328" s="13" t="s">
        <v>831</v>
      </c>
      <c r="D328" s="14" t="s">
        <v>11</v>
      </c>
      <c r="E328" s="14" t="s">
        <v>634</v>
      </c>
      <c r="F328" s="13" t="s">
        <v>640</v>
      </c>
      <c r="G328" s="12" t="s">
        <v>23</v>
      </c>
      <c r="H328" s="15"/>
      <c r="I328" s="15"/>
      <c r="J328" s="15">
        <f t="shared" si="9"/>
        <v>0</v>
      </c>
    </row>
    <row r="329" ht="28.8" spans="1:10">
      <c r="A329" s="12"/>
      <c r="B329" s="12"/>
      <c r="C329" s="13" t="s">
        <v>831</v>
      </c>
      <c r="D329" s="14" t="s">
        <v>20</v>
      </c>
      <c r="E329" s="14" t="s">
        <v>636</v>
      </c>
      <c r="F329" s="13" t="s">
        <v>647</v>
      </c>
      <c r="G329" s="12" t="s">
        <v>23</v>
      </c>
      <c r="H329" s="15"/>
      <c r="I329" s="15"/>
      <c r="J329" s="15">
        <f t="shared" si="9"/>
        <v>0</v>
      </c>
    </row>
    <row r="330" ht="28.8" spans="1:10">
      <c r="A330" s="12"/>
      <c r="B330" s="12"/>
      <c r="C330" s="13" t="s">
        <v>833</v>
      </c>
      <c r="D330" s="14" t="s">
        <v>11</v>
      </c>
      <c r="E330" s="14" t="s">
        <v>634</v>
      </c>
      <c r="F330" s="13" t="s">
        <v>640</v>
      </c>
      <c r="G330" s="12" t="s">
        <v>23</v>
      </c>
      <c r="H330" s="15"/>
      <c r="I330" s="15"/>
      <c r="J330" s="15">
        <f t="shared" si="9"/>
        <v>0</v>
      </c>
    </row>
    <row r="331" ht="28.8" spans="1:10">
      <c r="A331" s="12"/>
      <c r="B331" s="12"/>
      <c r="C331" s="13" t="s">
        <v>833</v>
      </c>
      <c r="D331" s="14" t="s">
        <v>11</v>
      </c>
      <c r="E331" s="14" t="s">
        <v>634</v>
      </c>
      <c r="F331" s="13" t="s">
        <v>650</v>
      </c>
      <c r="G331" s="12" t="s">
        <v>23</v>
      </c>
      <c r="H331" s="15"/>
      <c r="I331" s="15"/>
      <c r="J331" s="15">
        <f t="shared" si="9"/>
        <v>0</v>
      </c>
    </row>
    <row r="332" ht="28.8" spans="1:10">
      <c r="A332" s="12"/>
      <c r="B332" s="12"/>
      <c r="C332" s="13" t="s">
        <v>833</v>
      </c>
      <c r="D332" s="14" t="s">
        <v>20</v>
      </c>
      <c r="E332" s="14" t="s">
        <v>636</v>
      </c>
      <c r="F332" s="13" t="s">
        <v>651</v>
      </c>
      <c r="G332" s="12" t="s">
        <v>23</v>
      </c>
      <c r="H332" s="15"/>
      <c r="I332" s="15"/>
      <c r="J332" s="15">
        <f t="shared" si="9"/>
        <v>0</v>
      </c>
    </row>
    <row r="333" ht="28.8" spans="1:10">
      <c r="A333" s="12"/>
      <c r="B333" s="12"/>
      <c r="C333" s="13" t="s">
        <v>835</v>
      </c>
      <c r="D333" s="14" t="s">
        <v>11</v>
      </c>
      <c r="E333" s="14" t="s">
        <v>634</v>
      </c>
      <c r="F333" s="13" t="s">
        <v>635</v>
      </c>
      <c r="G333" s="12" t="s">
        <v>23</v>
      </c>
      <c r="H333" s="15"/>
      <c r="I333" s="15"/>
      <c r="J333" s="15">
        <f t="shared" si="9"/>
        <v>0</v>
      </c>
    </row>
    <row r="334" ht="28.8" spans="1:10">
      <c r="A334" s="12"/>
      <c r="B334" s="12"/>
      <c r="C334" s="13" t="s">
        <v>835</v>
      </c>
      <c r="D334" s="14" t="s">
        <v>11</v>
      </c>
      <c r="E334" s="14" t="s">
        <v>634</v>
      </c>
      <c r="F334" s="13" t="s">
        <v>650</v>
      </c>
      <c r="G334" s="12" t="s">
        <v>23</v>
      </c>
      <c r="H334" s="15"/>
      <c r="I334" s="15"/>
      <c r="J334" s="15">
        <f t="shared" si="9"/>
        <v>0</v>
      </c>
    </row>
    <row r="335" ht="28.8" spans="1:10">
      <c r="A335" s="12"/>
      <c r="B335" s="12"/>
      <c r="C335" s="13" t="s">
        <v>835</v>
      </c>
      <c r="D335" s="14" t="s">
        <v>20</v>
      </c>
      <c r="E335" s="14" t="s">
        <v>636</v>
      </c>
      <c r="F335" s="13" t="s">
        <v>654</v>
      </c>
      <c r="G335" s="12" t="s">
        <v>23</v>
      </c>
      <c r="H335" s="15"/>
      <c r="I335" s="15"/>
      <c r="J335" s="15">
        <f t="shared" si="9"/>
        <v>0</v>
      </c>
    </row>
    <row r="336" spans="1:10">
      <c r="A336" s="12"/>
      <c r="B336" s="12"/>
      <c r="C336" s="13" t="s">
        <v>837</v>
      </c>
      <c r="D336" s="14" t="s">
        <v>11</v>
      </c>
      <c r="E336" s="14" t="s">
        <v>665</v>
      </c>
      <c r="F336" s="13" t="s">
        <v>666</v>
      </c>
      <c r="G336" s="12" t="s">
        <v>34</v>
      </c>
      <c r="H336" s="15"/>
      <c r="I336" s="15"/>
      <c r="J336" s="15">
        <f t="shared" si="9"/>
        <v>0</v>
      </c>
    </row>
    <row r="337" spans="1:10">
      <c r="A337" s="12"/>
      <c r="B337" s="12"/>
      <c r="C337" s="13" t="s">
        <v>837</v>
      </c>
      <c r="D337" s="14" t="s">
        <v>11</v>
      </c>
      <c r="E337" s="14" t="s">
        <v>12</v>
      </c>
      <c r="F337" s="13" t="s">
        <v>13</v>
      </c>
      <c r="G337" s="12" t="s">
        <v>14</v>
      </c>
      <c r="H337" s="15"/>
      <c r="I337" s="15"/>
      <c r="J337" s="15">
        <f t="shared" si="9"/>
        <v>0</v>
      </c>
    </row>
    <row r="338" spans="1:10">
      <c r="A338" s="12"/>
      <c r="B338" s="12"/>
      <c r="C338" s="13" t="s">
        <v>837</v>
      </c>
      <c r="D338" s="14" t="s">
        <v>11</v>
      </c>
      <c r="E338" s="14" t="s">
        <v>12</v>
      </c>
      <c r="F338" s="13" t="s">
        <v>15</v>
      </c>
      <c r="G338" s="12" t="s">
        <v>14</v>
      </c>
      <c r="H338" s="15"/>
      <c r="I338" s="15"/>
      <c r="J338" s="15">
        <f t="shared" si="9"/>
        <v>0</v>
      </c>
    </row>
    <row r="339" spans="1:10">
      <c r="A339" s="12"/>
      <c r="B339" s="12"/>
      <c r="C339" s="13" t="s">
        <v>837</v>
      </c>
      <c r="D339" s="14" t="s">
        <v>11</v>
      </c>
      <c r="E339" s="14" t="s">
        <v>12</v>
      </c>
      <c r="F339" s="13" t="s">
        <v>28</v>
      </c>
      <c r="G339" s="12" t="s">
        <v>14</v>
      </c>
      <c r="H339" s="15"/>
      <c r="I339" s="15"/>
      <c r="J339" s="15">
        <f t="shared" si="9"/>
        <v>0</v>
      </c>
    </row>
    <row r="340" ht="28.8" spans="1:10">
      <c r="A340" s="12"/>
      <c r="B340" s="12"/>
      <c r="C340" s="13" t="s">
        <v>837</v>
      </c>
      <c r="D340" s="14" t="s">
        <v>20</v>
      </c>
      <c r="E340" s="14" t="s">
        <v>59</v>
      </c>
      <c r="F340" s="13" t="s">
        <v>667</v>
      </c>
      <c r="G340" s="12" t="s">
        <v>49</v>
      </c>
      <c r="H340" s="15"/>
      <c r="I340" s="15"/>
      <c r="J340" s="15">
        <f t="shared" si="9"/>
        <v>0</v>
      </c>
    </row>
    <row r="341" spans="1:10">
      <c r="A341" s="12"/>
      <c r="B341" s="12"/>
      <c r="C341" s="13" t="s">
        <v>837</v>
      </c>
      <c r="D341" s="14" t="s">
        <v>20</v>
      </c>
      <c r="E341" s="14" t="s">
        <v>59</v>
      </c>
      <c r="F341" s="13" t="s">
        <v>668</v>
      </c>
      <c r="G341" s="12" t="s">
        <v>49</v>
      </c>
      <c r="H341" s="15"/>
      <c r="I341" s="15"/>
      <c r="J341" s="15">
        <f t="shared" si="9"/>
        <v>0</v>
      </c>
    </row>
    <row r="342" spans="1:10">
      <c r="A342" s="12"/>
      <c r="B342" s="12"/>
      <c r="C342" s="13" t="s">
        <v>837</v>
      </c>
      <c r="D342" s="14" t="s">
        <v>20</v>
      </c>
      <c r="E342" s="14" t="s">
        <v>59</v>
      </c>
      <c r="F342" s="13" t="s">
        <v>60</v>
      </c>
      <c r="G342" s="12" t="s">
        <v>49</v>
      </c>
      <c r="H342" s="15"/>
      <c r="I342" s="15"/>
      <c r="J342" s="15">
        <f t="shared" si="9"/>
        <v>0</v>
      </c>
    </row>
    <row r="343" spans="1:10">
      <c r="A343" s="12"/>
      <c r="B343" s="12"/>
      <c r="C343" s="13" t="s">
        <v>837</v>
      </c>
      <c r="D343" s="14" t="s">
        <v>20</v>
      </c>
      <c r="E343" s="14" t="s">
        <v>106</v>
      </c>
      <c r="F343" s="13" t="s">
        <v>838</v>
      </c>
      <c r="G343" s="12" t="s">
        <v>108</v>
      </c>
      <c r="H343" s="15"/>
      <c r="I343" s="15"/>
      <c r="J343" s="15">
        <f t="shared" si="9"/>
        <v>0</v>
      </c>
    </row>
    <row r="344" ht="28.8" spans="1:10">
      <c r="A344" s="12"/>
      <c r="B344" s="12"/>
      <c r="C344" s="13" t="s">
        <v>840</v>
      </c>
      <c r="D344" s="14" t="s">
        <v>11</v>
      </c>
      <c r="E344" s="14" t="s">
        <v>24</v>
      </c>
      <c r="F344" s="13" t="s">
        <v>604</v>
      </c>
      <c r="G344" s="12" t="s">
        <v>34</v>
      </c>
      <c r="H344" s="15"/>
      <c r="I344" s="15"/>
      <c r="J344" s="15">
        <f t="shared" si="9"/>
        <v>0</v>
      </c>
    </row>
    <row r="345" ht="28.8" spans="1:10">
      <c r="A345" s="12"/>
      <c r="B345" s="12"/>
      <c r="C345" s="13" t="s">
        <v>840</v>
      </c>
      <c r="D345" s="14" t="s">
        <v>11</v>
      </c>
      <c r="E345" s="14" t="s">
        <v>24</v>
      </c>
      <c r="F345" s="13" t="s">
        <v>605</v>
      </c>
      <c r="G345" s="12" t="s">
        <v>34</v>
      </c>
      <c r="H345" s="15"/>
      <c r="I345" s="15"/>
      <c r="J345" s="15">
        <f t="shared" si="9"/>
        <v>0</v>
      </c>
    </row>
    <row r="346" ht="28.8" spans="1:10">
      <c r="A346" s="12"/>
      <c r="B346" s="12"/>
      <c r="C346" s="13" t="s">
        <v>840</v>
      </c>
      <c r="D346" s="14" t="s">
        <v>11</v>
      </c>
      <c r="E346" s="14" t="s">
        <v>24</v>
      </c>
      <c r="F346" s="13" t="s">
        <v>606</v>
      </c>
      <c r="G346" s="12" t="s">
        <v>34</v>
      </c>
      <c r="H346" s="15"/>
      <c r="I346" s="15"/>
      <c r="J346" s="15">
        <f t="shared" si="9"/>
        <v>0</v>
      </c>
    </row>
    <row r="347" ht="28.8" spans="1:10">
      <c r="A347" s="12"/>
      <c r="B347" s="12"/>
      <c r="C347" s="13" t="s">
        <v>840</v>
      </c>
      <c r="D347" s="14" t="s">
        <v>20</v>
      </c>
      <c r="E347" s="14" t="s">
        <v>47</v>
      </c>
      <c r="F347" s="13" t="s">
        <v>50</v>
      </c>
      <c r="G347" s="12" t="s">
        <v>49</v>
      </c>
      <c r="H347" s="15"/>
      <c r="I347" s="15"/>
      <c r="J347" s="15">
        <f t="shared" si="9"/>
        <v>0</v>
      </c>
    </row>
    <row r="348" ht="28.8" spans="1:10">
      <c r="A348" s="12"/>
      <c r="B348" s="12"/>
      <c r="C348" s="13" t="s">
        <v>840</v>
      </c>
      <c r="D348" s="14" t="s">
        <v>20</v>
      </c>
      <c r="E348" s="14" t="s">
        <v>61</v>
      </c>
      <c r="F348" s="13" t="s">
        <v>78</v>
      </c>
      <c r="G348" s="12" t="s">
        <v>49</v>
      </c>
      <c r="H348" s="15"/>
      <c r="I348" s="15"/>
      <c r="J348" s="15">
        <f t="shared" si="9"/>
        <v>0</v>
      </c>
    </row>
    <row r="349" ht="28.8" spans="1:10">
      <c r="A349" s="12"/>
      <c r="B349" s="12"/>
      <c r="C349" s="13" t="s">
        <v>840</v>
      </c>
      <c r="D349" s="14" t="s">
        <v>20</v>
      </c>
      <c r="E349" s="14" t="s">
        <v>61</v>
      </c>
      <c r="F349" s="13" t="s">
        <v>607</v>
      </c>
      <c r="G349" s="12" t="s">
        <v>23</v>
      </c>
      <c r="H349" s="15"/>
      <c r="I349" s="15"/>
      <c r="J349" s="15">
        <f t="shared" si="9"/>
        <v>0</v>
      </c>
    </row>
    <row r="350" ht="28.8" spans="1:10">
      <c r="A350" s="12"/>
      <c r="B350" s="12"/>
      <c r="C350" s="13" t="s">
        <v>840</v>
      </c>
      <c r="D350" s="14" t="s">
        <v>20</v>
      </c>
      <c r="E350" s="14" t="s">
        <v>84</v>
      </c>
      <c r="F350" s="13" t="s">
        <v>86</v>
      </c>
      <c r="G350" s="12" t="s">
        <v>49</v>
      </c>
      <c r="H350" s="15"/>
      <c r="I350" s="15"/>
      <c r="J350" s="15">
        <f t="shared" si="9"/>
        <v>0</v>
      </c>
    </row>
    <row r="351" ht="28.8" spans="1:10">
      <c r="A351" s="12"/>
      <c r="B351" s="12"/>
      <c r="C351" s="13" t="s">
        <v>840</v>
      </c>
      <c r="D351" s="14" t="s">
        <v>20</v>
      </c>
      <c r="E351" s="14" t="s">
        <v>84</v>
      </c>
      <c r="F351" s="13" t="s">
        <v>88</v>
      </c>
      <c r="G351" s="12" t="s">
        <v>49</v>
      </c>
      <c r="H351" s="15"/>
      <c r="I351" s="15"/>
      <c r="J351" s="15">
        <f t="shared" si="9"/>
        <v>0</v>
      </c>
    </row>
    <row r="352" ht="28.8" spans="1:10">
      <c r="A352" s="12"/>
      <c r="B352" s="12"/>
      <c r="C352" s="13" t="s">
        <v>840</v>
      </c>
      <c r="D352" s="14" t="s">
        <v>20</v>
      </c>
      <c r="E352" s="14" t="s">
        <v>84</v>
      </c>
      <c r="F352" s="13" t="s">
        <v>89</v>
      </c>
      <c r="G352" s="12" t="s">
        <v>49</v>
      </c>
      <c r="H352" s="15"/>
      <c r="I352" s="15"/>
      <c r="J352" s="15">
        <f t="shared" si="9"/>
        <v>0</v>
      </c>
    </row>
    <row r="353" ht="28.8" spans="1:10">
      <c r="A353" s="12"/>
      <c r="B353" s="12"/>
      <c r="C353" s="13" t="s">
        <v>840</v>
      </c>
      <c r="D353" s="14" t="s">
        <v>20</v>
      </c>
      <c r="E353" s="14" t="s">
        <v>84</v>
      </c>
      <c r="F353" s="13" t="s">
        <v>608</v>
      </c>
      <c r="G353" s="12" t="s">
        <v>100</v>
      </c>
      <c r="H353" s="15"/>
      <c r="I353" s="15"/>
      <c r="J353" s="15">
        <f t="shared" si="9"/>
        <v>0</v>
      </c>
    </row>
    <row r="354" ht="28.8" spans="1:10">
      <c r="A354" s="12"/>
      <c r="B354" s="12"/>
      <c r="C354" s="13" t="s">
        <v>840</v>
      </c>
      <c r="D354" s="14" t="s">
        <v>20</v>
      </c>
      <c r="E354" s="14" t="s">
        <v>84</v>
      </c>
      <c r="F354" s="13" t="s">
        <v>609</v>
      </c>
      <c r="G354" s="12" t="s">
        <v>63</v>
      </c>
      <c r="H354" s="15"/>
      <c r="I354" s="15"/>
      <c r="J354" s="15">
        <f t="shared" si="9"/>
        <v>0</v>
      </c>
    </row>
    <row r="355" ht="28.8" spans="1:10">
      <c r="A355" s="12"/>
      <c r="B355" s="12"/>
      <c r="C355" s="13" t="s">
        <v>840</v>
      </c>
      <c r="D355" s="14" t="s">
        <v>20</v>
      </c>
      <c r="E355" s="14" t="s">
        <v>84</v>
      </c>
      <c r="F355" s="13" t="s">
        <v>610</v>
      </c>
      <c r="G355" s="12" t="s">
        <v>611</v>
      </c>
      <c r="H355" s="15"/>
      <c r="I355" s="15"/>
      <c r="J355" s="15">
        <f t="shared" si="9"/>
        <v>0</v>
      </c>
    </row>
    <row r="356" ht="28.8" spans="1:10">
      <c r="A356" s="12"/>
      <c r="B356" s="12"/>
      <c r="C356" s="13" t="s">
        <v>840</v>
      </c>
      <c r="D356" s="14" t="s">
        <v>20</v>
      </c>
      <c r="E356" s="14" t="s">
        <v>84</v>
      </c>
      <c r="F356" s="13" t="s">
        <v>612</v>
      </c>
      <c r="G356" s="12" t="s">
        <v>611</v>
      </c>
      <c r="H356" s="15"/>
      <c r="I356" s="15"/>
      <c r="J356" s="15">
        <f t="shared" si="9"/>
        <v>0</v>
      </c>
    </row>
    <row r="357" ht="28.8" spans="1:10">
      <c r="A357" s="12"/>
      <c r="B357" s="12"/>
      <c r="C357" s="13" t="s">
        <v>842</v>
      </c>
      <c r="D357" s="14" t="s">
        <v>20</v>
      </c>
      <c r="E357" s="14" t="s">
        <v>47</v>
      </c>
      <c r="F357" s="13" t="s">
        <v>48</v>
      </c>
      <c r="G357" s="12" t="s">
        <v>49</v>
      </c>
      <c r="H357" s="15"/>
      <c r="I357" s="15"/>
      <c r="J357" s="15">
        <f t="shared" si="9"/>
        <v>0</v>
      </c>
    </row>
    <row r="358" ht="28.8" spans="1:10">
      <c r="A358" s="12"/>
      <c r="B358" s="12"/>
      <c r="C358" s="13" t="s">
        <v>842</v>
      </c>
      <c r="D358" s="14" t="s">
        <v>20</v>
      </c>
      <c r="E358" s="14" t="s">
        <v>624</v>
      </c>
      <c r="F358" s="13" t="s">
        <v>625</v>
      </c>
      <c r="G358" s="12" t="s">
        <v>23</v>
      </c>
      <c r="H358" s="15"/>
      <c r="I358" s="15"/>
      <c r="J358" s="15">
        <f t="shared" si="9"/>
        <v>0</v>
      </c>
    </row>
    <row r="359" ht="28.8" spans="1:10">
      <c r="A359" s="12"/>
      <c r="B359" s="12"/>
      <c r="C359" s="13" t="s">
        <v>842</v>
      </c>
      <c r="D359" s="14" t="s">
        <v>20</v>
      </c>
      <c r="E359" s="14" t="s">
        <v>624</v>
      </c>
      <c r="F359" s="13" t="s">
        <v>626</v>
      </c>
      <c r="G359" s="12" t="s">
        <v>23</v>
      </c>
      <c r="H359" s="15"/>
      <c r="I359" s="15"/>
      <c r="J359" s="15">
        <f t="shared" si="9"/>
        <v>0</v>
      </c>
    </row>
    <row r="360" ht="28.8" spans="1:10">
      <c r="A360" s="12"/>
      <c r="B360" s="12"/>
      <c r="C360" s="13" t="s">
        <v>842</v>
      </c>
      <c r="D360" s="14" t="s">
        <v>20</v>
      </c>
      <c r="E360" s="14" t="s">
        <v>624</v>
      </c>
      <c r="F360" s="13" t="s">
        <v>627</v>
      </c>
      <c r="G360" s="12" t="s">
        <v>23</v>
      </c>
      <c r="H360" s="15"/>
      <c r="I360" s="15"/>
      <c r="J360" s="15">
        <f t="shared" si="9"/>
        <v>0</v>
      </c>
    </row>
    <row r="361" ht="28.8" spans="1:10">
      <c r="A361" s="12"/>
      <c r="B361" s="12"/>
      <c r="C361" s="13" t="s">
        <v>842</v>
      </c>
      <c r="D361" s="14" t="s">
        <v>20</v>
      </c>
      <c r="E361" s="14" t="s">
        <v>624</v>
      </c>
      <c r="F361" s="13" t="s">
        <v>628</v>
      </c>
      <c r="G361" s="12" t="s">
        <v>23</v>
      </c>
      <c r="H361" s="15"/>
      <c r="I361" s="15"/>
      <c r="J361" s="15">
        <f t="shared" si="9"/>
        <v>0</v>
      </c>
    </row>
    <row r="362" ht="28.8" spans="1:10">
      <c r="A362" s="12"/>
      <c r="B362" s="12"/>
      <c r="C362" s="13" t="s">
        <v>842</v>
      </c>
      <c r="D362" s="14" t="s">
        <v>11</v>
      </c>
      <c r="E362" s="14" t="s">
        <v>630</v>
      </c>
      <c r="F362" s="13" t="s">
        <v>631</v>
      </c>
      <c r="G362" s="12" t="s">
        <v>17</v>
      </c>
      <c r="H362" s="15"/>
      <c r="I362" s="15"/>
      <c r="J362" s="15">
        <f t="shared" si="9"/>
        <v>0</v>
      </c>
    </row>
    <row r="363" ht="28.8" spans="1:10">
      <c r="A363" s="12"/>
      <c r="B363" s="12"/>
      <c r="C363" s="13" t="s">
        <v>844</v>
      </c>
      <c r="D363" s="14" t="s">
        <v>20</v>
      </c>
      <c r="E363" s="14" t="s">
        <v>47</v>
      </c>
      <c r="F363" s="13" t="s">
        <v>48</v>
      </c>
      <c r="G363" s="12" t="s">
        <v>49</v>
      </c>
      <c r="H363" s="15"/>
      <c r="I363" s="15"/>
      <c r="J363" s="15">
        <f t="shared" si="9"/>
        <v>0</v>
      </c>
    </row>
    <row r="364" ht="28.8" spans="1:10">
      <c r="A364" s="12"/>
      <c r="B364" s="12"/>
      <c r="C364" s="13" t="s">
        <v>844</v>
      </c>
      <c r="D364" s="14" t="s">
        <v>20</v>
      </c>
      <c r="E364" s="14" t="s">
        <v>624</v>
      </c>
      <c r="F364" s="13" t="s">
        <v>625</v>
      </c>
      <c r="G364" s="12" t="s">
        <v>23</v>
      </c>
      <c r="H364" s="15"/>
      <c r="I364" s="15"/>
      <c r="J364" s="15">
        <f t="shared" si="9"/>
        <v>0</v>
      </c>
    </row>
    <row r="365" ht="28.8" spans="1:10">
      <c r="A365" s="12"/>
      <c r="B365" s="12"/>
      <c r="C365" s="13" t="s">
        <v>844</v>
      </c>
      <c r="D365" s="14" t="s">
        <v>20</v>
      </c>
      <c r="E365" s="14" t="s">
        <v>624</v>
      </c>
      <c r="F365" s="13" t="s">
        <v>626</v>
      </c>
      <c r="G365" s="12" t="s">
        <v>23</v>
      </c>
      <c r="H365" s="15"/>
      <c r="I365" s="15"/>
      <c r="J365" s="15">
        <f t="shared" si="9"/>
        <v>0</v>
      </c>
    </row>
    <row r="366" ht="28.8" spans="1:10">
      <c r="A366" s="12"/>
      <c r="B366" s="12"/>
      <c r="C366" s="13" t="s">
        <v>844</v>
      </c>
      <c r="D366" s="14" t="s">
        <v>20</v>
      </c>
      <c r="E366" s="14" t="s">
        <v>624</v>
      </c>
      <c r="F366" s="13" t="s">
        <v>627</v>
      </c>
      <c r="G366" s="12" t="s">
        <v>23</v>
      </c>
      <c r="H366" s="15"/>
      <c r="I366" s="15"/>
      <c r="J366" s="15">
        <f t="shared" si="9"/>
        <v>0</v>
      </c>
    </row>
    <row r="367" ht="28.8" spans="1:10">
      <c r="A367" s="12"/>
      <c r="B367" s="12"/>
      <c r="C367" s="13" t="s">
        <v>844</v>
      </c>
      <c r="D367" s="14" t="s">
        <v>20</v>
      </c>
      <c r="E367" s="14" t="s">
        <v>624</v>
      </c>
      <c r="F367" s="13" t="s">
        <v>628</v>
      </c>
      <c r="G367" s="12" t="s">
        <v>23</v>
      </c>
      <c r="H367" s="15"/>
      <c r="I367" s="15"/>
      <c r="J367" s="15">
        <f t="shared" si="9"/>
        <v>0</v>
      </c>
    </row>
    <row r="368" ht="28.8" spans="1:10">
      <c r="A368" s="12"/>
      <c r="B368" s="12"/>
      <c r="C368" s="13" t="s">
        <v>844</v>
      </c>
      <c r="D368" s="14" t="s">
        <v>11</v>
      </c>
      <c r="E368" s="14" t="s">
        <v>630</v>
      </c>
      <c r="F368" s="13" t="s">
        <v>631</v>
      </c>
      <c r="G368" s="12" t="s">
        <v>17</v>
      </c>
      <c r="H368" s="15"/>
      <c r="I368" s="15"/>
      <c r="J368" s="15">
        <f t="shared" si="9"/>
        <v>0</v>
      </c>
    </row>
    <row r="369" ht="28.8" spans="1:10">
      <c r="A369" s="12"/>
      <c r="B369" s="12"/>
      <c r="C369" s="13" t="s">
        <v>846</v>
      </c>
      <c r="D369" s="14" t="s">
        <v>20</v>
      </c>
      <c r="E369" s="14" t="s">
        <v>47</v>
      </c>
      <c r="F369" s="13" t="s">
        <v>48</v>
      </c>
      <c r="G369" s="12" t="s">
        <v>49</v>
      </c>
      <c r="H369" s="15"/>
      <c r="I369" s="15"/>
      <c r="J369" s="15">
        <f t="shared" si="9"/>
        <v>0</v>
      </c>
    </row>
    <row r="370" ht="28.8" spans="1:10">
      <c r="A370" s="12"/>
      <c r="B370" s="12"/>
      <c r="C370" s="13" t="s">
        <v>846</v>
      </c>
      <c r="D370" s="14" t="s">
        <v>20</v>
      </c>
      <c r="E370" s="14" t="s">
        <v>624</v>
      </c>
      <c r="F370" s="13" t="s">
        <v>625</v>
      </c>
      <c r="G370" s="12" t="s">
        <v>23</v>
      </c>
      <c r="H370" s="15"/>
      <c r="I370" s="15"/>
      <c r="J370" s="15">
        <f t="shared" si="9"/>
        <v>0</v>
      </c>
    </row>
    <row r="371" ht="28.8" spans="1:10">
      <c r="A371" s="12"/>
      <c r="B371" s="12"/>
      <c r="C371" s="13" t="s">
        <v>846</v>
      </c>
      <c r="D371" s="14" t="s">
        <v>20</v>
      </c>
      <c r="E371" s="14" t="s">
        <v>624</v>
      </c>
      <c r="F371" s="13" t="s">
        <v>626</v>
      </c>
      <c r="G371" s="12" t="s">
        <v>23</v>
      </c>
      <c r="H371" s="15"/>
      <c r="I371" s="15"/>
      <c r="J371" s="15">
        <f t="shared" si="9"/>
        <v>0</v>
      </c>
    </row>
    <row r="372" ht="28.8" spans="1:10">
      <c r="A372" s="12"/>
      <c r="B372" s="12"/>
      <c r="C372" s="13" t="s">
        <v>846</v>
      </c>
      <c r="D372" s="14" t="s">
        <v>20</v>
      </c>
      <c r="E372" s="14" t="s">
        <v>624</v>
      </c>
      <c r="F372" s="13" t="s">
        <v>627</v>
      </c>
      <c r="G372" s="12" t="s">
        <v>23</v>
      </c>
      <c r="H372" s="15"/>
      <c r="I372" s="15"/>
      <c r="J372" s="15">
        <f t="shared" si="9"/>
        <v>0</v>
      </c>
    </row>
    <row r="373" ht="28.8" spans="1:10">
      <c r="A373" s="12"/>
      <c r="B373" s="12"/>
      <c r="C373" s="13" t="s">
        <v>846</v>
      </c>
      <c r="D373" s="14" t="s">
        <v>20</v>
      </c>
      <c r="E373" s="14" t="s">
        <v>624</v>
      </c>
      <c r="F373" s="13" t="s">
        <v>628</v>
      </c>
      <c r="G373" s="12" t="s">
        <v>23</v>
      </c>
      <c r="H373" s="15"/>
      <c r="I373" s="15"/>
      <c r="J373" s="15">
        <f t="shared" si="9"/>
        <v>0</v>
      </c>
    </row>
    <row r="374" ht="28.8" spans="1:10">
      <c r="A374" s="12"/>
      <c r="B374" s="12"/>
      <c r="C374" s="13" t="s">
        <v>846</v>
      </c>
      <c r="D374" s="14" t="s">
        <v>11</v>
      </c>
      <c r="E374" s="14" t="s">
        <v>630</v>
      </c>
      <c r="F374" s="13" t="s">
        <v>631</v>
      </c>
      <c r="G374" s="12" t="s">
        <v>17</v>
      </c>
      <c r="H374" s="15"/>
      <c r="I374" s="15"/>
      <c r="J374" s="15">
        <f t="shared" si="9"/>
        <v>0</v>
      </c>
    </row>
    <row r="375" ht="28.8" spans="1:10">
      <c r="A375" s="12"/>
      <c r="B375" s="12"/>
      <c r="C375" s="13" t="s">
        <v>848</v>
      </c>
      <c r="D375" s="14" t="s">
        <v>20</v>
      </c>
      <c r="E375" s="14" t="s">
        <v>47</v>
      </c>
      <c r="F375" s="13" t="s">
        <v>48</v>
      </c>
      <c r="G375" s="12" t="s">
        <v>49</v>
      </c>
      <c r="H375" s="15"/>
      <c r="I375" s="15"/>
      <c r="J375" s="15">
        <f t="shared" si="9"/>
        <v>0</v>
      </c>
    </row>
    <row r="376" ht="28.8" spans="1:10">
      <c r="A376" s="12"/>
      <c r="B376" s="12"/>
      <c r="C376" s="13" t="s">
        <v>848</v>
      </c>
      <c r="D376" s="14" t="s">
        <v>20</v>
      </c>
      <c r="E376" s="14" t="s">
        <v>624</v>
      </c>
      <c r="F376" s="13" t="s">
        <v>625</v>
      </c>
      <c r="G376" s="12" t="s">
        <v>23</v>
      </c>
      <c r="H376" s="15"/>
      <c r="I376" s="15"/>
      <c r="J376" s="15">
        <f t="shared" si="9"/>
        <v>0</v>
      </c>
    </row>
    <row r="377" ht="28.8" spans="1:10">
      <c r="A377" s="12"/>
      <c r="B377" s="12"/>
      <c r="C377" s="13" t="s">
        <v>848</v>
      </c>
      <c r="D377" s="14" t="s">
        <v>20</v>
      </c>
      <c r="E377" s="14" t="s">
        <v>624</v>
      </c>
      <c r="F377" s="13" t="s">
        <v>626</v>
      </c>
      <c r="G377" s="12" t="s">
        <v>23</v>
      </c>
      <c r="H377" s="15"/>
      <c r="I377" s="15"/>
      <c r="J377" s="15">
        <f t="shared" si="9"/>
        <v>0</v>
      </c>
    </row>
    <row r="378" ht="28.8" spans="1:10">
      <c r="A378" s="12"/>
      <c r="B378" s="12"/>
      <c r="C378" s="13" t="s">
        <v>848</v>
      </c>
      <c r="D378" s="14" t="s">
        <v>20</v>
      </c>
      <c r="E378" s="14" t="s">
        <v>624</v>
      </c>
      <c r="F378" s="13" t="s">
        <v>627</v>
      </c>
      <c r="G378" s="12" t="s">
        <v>23</v>
      </c>
      <c r="H378" s="15"/>
      <c r="I378" s="15"/>
      <c r="J378" s="15">
        <f t="shared" si="9"/>
        <v>0</v>
      </c>
    </row>
    <row r="379" ht="28.8" spans="1:10">
      <c r="A379" s="12"/>
      <c r="B379" s="12"/>
      <c r="C379" s="13" t="s">
        <v>848</v>
      </c>
      <c r="D379" s="14" t="s">
        <v>20</v>
      </c>
      <c r="E379" s="14" t="s">
        <v>624</v>
      </c>
      <c r="F379" s="13" t="s">
        <v>628</v>
      </c>
      <c r="G379" s="12" t="s">
        <v>23</v>
      </c>
      <c r="H379" s="15"/>
      <c r="I379" s="15"/>
      <c r="J379" s="15">
        <f t="shared" si="9"/>
        <v>0</v>
      </c>
    </row>
    <row r="380" ht="28.8" spans="1:10">
      <c r="A380" s="12"/>
      <c r="B380" s="12"/>
      <c r="C380" s="13" t="s">
        <v>848</v>
      </c>
      <c r="D380" s="14" t="s">
        <v>11</v>
      </c>
      <c r="E380" s="14" t="s">
        <v>630</v>
      </c>
      <c r="F380" s="13" t="s">
        <v>631</v>
      </c>
      <c r="G380" s="12" t="s">
        <v>17</v>
      </c>
      <c r="H380" s="15"/>
      <c r="I380" s="15"/>
      <c r="J380" s="15">
        <f t="shared" si="9"/>
        <v>0</v>
      </c>
    </row>
    <row r="381" ht="28.8" spans="1:10">
      <c r="A381" s="12"/>
      <c r="B381" s="12"/>
      <c r="C381" s="13" t="s">
        <v>850</v>
      </c>
      <c r="D381" s="14" t="s">
        <v>20</v>
      </c>
      <c r="E381" s="14" t="s">
        <v>47</v>
      </c>
      <c r="F381" s="13" t="s">
        <v>48</v>
      </c>
      <c r="G381" s="12" t="s">
        <v>49</v>
      </c>
      <c r="H381" s="15"/>
      <c r="I381" s="15"/>
      <c r="J381" s="15">
        <f t="shared" si="9"/>
        <v>0</v>
      </c>
    </row>
    <row r="382" ht="28.8" spans="1:10">
      <c r="A382" s="12"/>
      <c r="B382" s="12"/>
      <c r="C382" s="13" t="s">
        <v>850</v>
      </c>
      <c r="D382" s="14" t="s">
        <v>20</v>
      </c>
      <c r="E382" s="14" t="s">
        <v>624</v>
      </c>
      <c r="F382" s="13" t="s">
        <v>625</v>
      </c>
      <c r="G382" s="12" t="s">
        <v>23</v>
      </c>
      <c r="H382" s="15"/>
      <c r="I382" s="15"/>
      <c r="J382" s="15">
        <f t="shared" ref="J382:J445" si="10">+ROUND(PRODUCT(H382*I382),0)</f>
        <v>0</v>
      </c>
    </row>
    <row r="383" ht="28.8" spans="1:10">
      <c r="A383" s="12"/>
      <c r="B383" s="12"/>
      <c r="C383" s="13" t="s">
        <v>850</v>
      </c>
      <c r="D383" s="14" t="s">
        <v>20</v>
      </c>
      <c r="E383" s="14" t="s">
        <v>624</v>
      </c>
      <c r="F383" s="13" t="s">
        <v>626</v>
      </c>
      <c r="G383" s="12" t="s">
        <v>23</v>
      </c>
      <c r="H383" s="15"/>
      <c r="I383" s="15"/>
      <c r="J383" s="15">
        <f t="shared" si="10"/>
        <v>0</v>
      </c>
    </row>
    <row r="384" ht="28.8" spans="1:10">
      <c r="A384" s="12"/>
      <c r="B384" s="12"/>
      <c r="C384" s="13" t="s">
        <v>850</v>
      </c>
      <c r="D384" s="14" t="s">
        <v>20</v>
      </c>
      <c r="E384" s="14" t="s">
        <v>624</v>
      </c>
      <c r="F384" s="13" t="s">
        <v>627</v>
      </c>
      <c r="G384" s="12" t="s">
        <v>23</v>
      </c>
      <c r="H384" s="15"/>
      <c r="I384" s="15"/>
      <c r="J384" s="15">
        <f t="shared" si="10"/>
        <v>0</v>
      </c>
    </row>
    <row r="385" ht="28.8" spans="1:10">
      <c r="A385" s="12"/>
      <c r="B385" s="12"/>
      <c r="C385" s="13" t="s">
        <v>850</v>
      </c>
      <c r="D385" s="14" t="s">
        <v>20</v>
      </c>
      <c r="E385" s="14" t="s">
        <v>624</v>
      </c>
      <c r="F385" s="13" t="s">
        <v>628</v>
      </c>
      <c r="G385" s="12" t="s">
        <v>23</v>
      </c>
      <c r="H385" s="15"/>
      <c r="I385" s="15"/>
      <c r="J385" s="15">
        <f t="shared" si="10"/>
        <v>0</v>
      </c>
    </row>
    <row r="386" ht="28.8" spans="1:10">
      <c r="A386" s="12"/>
      <c r="B386" s="12"/>
      <c r="C386" s="13" t="s">
        <v>850</v>
      </c>
      <c r="D386" s="14" t="s">
        <v>11</v>
      </c>
      <c r="E386" s="14" t="s">
        <v>630</v>
      </c>
      <c r="F386" s="13" t="s">
        <v>631</v>
      </c>
      <c r="G386" s="12" t="s">
        <v>17</v>
      </c>
      <c r="H386" s="15"/>
      <c r="I386" s="15"/>
      <c r="J386" s="15">
        <f t="shared" si="10"/>
        <v>0</v>
      </c>
    </row>
    <row r="387" ht="28.8" spans="1:10">
      <c r="A387" s="12"/>
      <c r="B387" s="12"/>
      <c r="C387" s="13" t="s">
        <v>852</v>
      </c>
      <c r="D387" s="14" t="s">
        <v>20</v>
      </c>
      <c r="E387" s="14" t="s">
        <v>47</v>
      </c>
      <c r="F387" s="13" t="s">
        <v>48</v>
      </c>
      <c r="G387" s="12" t="s">
        <v>49</v>
      </c>
      <c r="H387" s="15"/>
      <c r="I387" s="15"/>
      <c r="J387" s="15">
        <f t="shared" si="10"/>
        <v>0</v>
      </c>
    </row>
    <row r="388" ht="28.8" spans="1:10">
      <c r="A388" s="12"/>
      <c r="B388" s="12"/>
      <c r="C388" s="13" t="s">
        <v>852</v>
      </c>
      <c r="D388" s="14" t="s">
        <v>20</v>
      </c>
      <c r="E388" s="14" t="s">
        <v>624</v>
      </c>
      <c r="F388" s="13" t="s">
        <v>625</v>
      </c>
      <c r="G388" s="12" t="s">
        <v>23</v>
      </c>
      <c r="H388" s="15"/>
      <c r="I388" s="15"/>
      <c r="J388" s="15">
        <f t="shared" si="10"/>
        <v>0</v>
      </c>
    </row>
    <row r="389" ht="28.8" spans="1:10">
      <c r="A389" s="12"/>
      <c r="B389" s="12"/>
      <c r="C389" s="13" t="s">
        <v>852</v>
      </c>
      <c r="D389" s="14" t="s">
        <v>20</v>
      </c>
      <c r="E389" s="14" t="s">
        <v>624</v>
      </c>
      <c r="F389" s="13" t="s">
        <v>626</v>
      </c>
      <c r="G389" s="12" t="s">
        <v>23</v>
      </c>
      <c r="H389" s="15"/>
      <c r="I389" s="15"/>
      <c r="J389" s="15">
        <f t="shared" si="10"/>
        <v>0</v>
      </c>
    </row>
    <row r="390" ht="28.8" spans="1:10">
      <c r="A390" s="12"/>
      <c r="B390" s="12"/>
      <c r="C390" s="13" t="s">
        <v>852</v>
      </c>
      <c r="D390" s="14" t="s">
        <v>20</v>
      </c>
      <c r="E390" s="14" t="s">
        <v>624</v>
      </c>
      <c r="F390" s="13" t="s">
        <v>627</v>
      </c>
      <c r="G390" s="12" t="s">
        <v>23</v>
      </c>
      <c r="H390" s="15"/>
      <c r="I390" s="15"/>
      <c r="J390" s="15">
        <f t="shared" si="10"/>
        <v>0</v>
      </c>
    </row>
    <row r="391" ht="28.8" spans="1:10">
      <c r="A391" s="12"/>
      <c r="B391" s="12"/>
      <c r="C391" s="13" t="s">
        <v>852</v>
      </c>
      <c r="D391" s="14" t="s">
        <v>20</v>
      </c>
      <c r="E391" s="14" t="s">
        <v>624</v>
      </c>
      <c r="F391" s="13" t="s">
        <v>628</v>
      </c>
      <c r="G391" s="12" t="s">
        <v>23</v>
      </c>
      <c r="H391" s="15"/>
      <c r="I391" s="15"/>
      <c r="J391" s="15">
        <f t="shared" si="10"/>
        <v>0</v>
      </c>
    </row>
    <row r="392" ht="28.8" spans="1:10">
      <c r="A392" s="12"/>
      <c r="B392" s="12"/>
      <c r="C392" s="13" t="s">
        <v>852</v>
      </c>
      <c r="D392" s="14" t="s">
        <v>11</v>
      </c>
      <c r="E392" s="14" t="s">
        <v>630</v>
      </c>
      <c r="F392" s="13" t="s">
        <v>631</v>
      </c>
      <c r="G392" s="12" t="s">
        <v>17</v>
      </c>
      <c r="H392" s="15"/>
      <c r="I392" s="15"/>
      <c r="J392" s="15">
        <f t="shared" si="10"/>
        <v>0</v>
      </c>
    </row>
    <row r="393" ht="28.8" spans="1:10">
      <c r="A393" s="12"/>
      <c r="B393" s="12"/>
      <c r="C393" s="13" t="s">
        <v>854</v>
      </c>
      <c r="D393" s="14" t="s">
        <v>20</v>
      </c>
      <c r="E393" s="14" t="s">
        <v>47</v>
      </c>
      <c r="F393" s="13" t="s">
        <v>48</v>
      </c>
      <c r="G393" s="12" t="s">
        <v>49</v>
      </c>
      <c r="H393" s="15"/>
      <c r="I393" s="15"/>
      <c r="J393" s="15">
        <f t="shared" si="10"/>
        <v>0</v>
      </c>
    </row>
    <row r="394" ht="28.8" spans="1:10">
      <c r="A394" s="12"/>
      <c r="B394" s="12"/>
      <c r="C394" s="13" t="s">
        <v>854</v>
      </c>
      <c r="D394" s="14" t="s">
        <v>20</v>
      </c>
      <c r="E394" s="14" t="s">
        <v>624</v>
      </c>
      <c r="F394" s="13" t="s">
        <v>625</v>
      </c>
      <c r="G394" s="12" t="s">
        <v>23</v>
      </c>
      <c r="H394" s="15"/>
      <c r="I394" s="15"/>
      <c r="J394" s="15">
        <f t="shared" si="10"/>
        <v>0</v>
      </c>
    </row>
    <row r="395" ht="28.8" spans="1:10">
      <c r="A395" s="12"/>
      <c r="B395" s="12"/>
      <c r="C395" s="13" t="s">
        <v>854</v>
      </c>
      <c r="D395" s="14" t="s">
        <v>20</v>
      </c>
      <c r="E395" s="14" t="s">
        <v>624</v>
      </c>
      <c r="F395" s="13" t="s">
        <v>626</v>
      </c>
      <c r="G395" s="12" t="s">
        <v>23</v>
      </c>
      <c r="H395" s="15"/>
      <c r="I395" s="15"/>
      <c r="J395" s="15">
        <f t="shared" si="10"/>
        <v>0</v>
      </c>
    </row>
    <row r="396" ht="28.8" spans="1:10">
      <c r="A396" s="12"/>
      <c r="B396" s="12"/>
      <c r="C396" s="13" t="s">
        <v>854</v>
      </c>
      <c r="D396" s="14" t="s">
        <v>20</v>
      </c>
      <c r="E396" s="14" t="s">
        <v>624</v>
      </c>
      <c r="F396" s="13" t="s">
        <v>627</v>
      </c>
      <c r="G396" s="12" t="s">
        <v>23</v>
      </c>
      <c r="H396" s="15"/>
      <c r="I396" s="15"/>
      <c r="J396" s="15">
        <f t="shared" si="10"/>
        <v>0</v>
      </c>
    </row>
    <row r="397" ht="28.8" spans="1:10">
      <c r="A397" s="12"/>
      <c r="B397" s="12"/>
      <c r="C397" s="13" t="s">
        <v>854</v>
      </c>
      <c r="D397" s="14" t="s">
        <v>20</v>
      </c>
      <c r="E397" s="14" t="s">
        <v>624</v>
      </c>
      <c r="F397" s="13" t="s">
        <v>628</v>
      </c>
      <c r="G397" s="12" t="s">
        <v>23</v>
      </c>
      <c r="H397" s="15"/>
      <c r="I397" s="15"/>
      <c r="J397" s="15">
        <f t="shared" si="10"/>
        <v>0</v>
      </c>
    </row>
    <row r="398" ht="28.8" spans="1:10">
      <c r="A398" s="12"/>
      <c r="B398" s="12"/>
      <c r="C398" s="13" t="s">
        <v>854</v>
      </c>
      <c r="D398" s="14" t="s">
        <v>11</v>
      </c>
      <c r="E398" s="14" t="s">
        <v>630</v>
      </c>
      <c r="F398" s="13" t="s">
        <v>631</v>
      </c>
      <c r="G398" s="12" t="s">
        <v>17</v>
      </c>
      <c r="H398" s="15"/>
      <c r="I398" s="15"/>
      <c r="J398" s="15">
        <f t="shared" si="10"/>
        <v>0</v>
      </c>
    </row>
    <row r="399" ht="28.8" spans="1:10">
      <c r="A399" s="12"/>
      <c r="B399" s="12"/>
      <c r="C399" s="13" t="s">
        <v>856</v>
      </c>
      <c r="D399" s="14" t="s">
        <v>20</v>
      </c>
      <c r="E399" s="14" t="s">
        <v>47</v>
      </c>
      <c r="F399" s="13" t="s">
        <v>48</v>
      </c>
      <c r="G399" s="12" t="s">
        <v>49</v>
      </c>
      <c r="H399" s="15"/>
      <c r="I399" s="15"/>
      <c r="J399" s="15">
        <f t="shared" si="10"/>
        <v>0</v>
      </c>
    </row>
    <row r="400" ht="28.8" spans="1:10">
      <c r="A400" s="12"/>
      <c r="B400" s="12"/>
      <c r="C400" s="13" t="s">
        <v>856</v>
      </c>
      <c r="D400" s="14" t="s">
        <v>20</v>
      </c>
      <c r="E400" s="14" t="s">
        <v>624</v>
      </c>
      <c r="F400" s="13" t="s">
        <v>625</v>
      </c>
      <c r="G400" s="12" t="s">
        <v>23</v>
      </c>
      <c r="H400" s="15"/>
      <c r="I400" s="15"/>
      <c r="J400" s="15">
        <f t="shared" si="10"/>
        <v>0</v>
      </c>
    </row>
    <row r="401" ht="28.8" spans="1:10">
      <c r="A401" s="12"/>
      <c r="B401" s="12"/>
      <c r="C401" s="13" t="s">
        <v>856</v>
      </c>
      <c r="D401" s="14" t="s">
        <v>20</v>
      </c>
      <c r="E401" s="14" t="s">
        <v>624</v>
      </c>
      <c r="F401" s="13" t="s">
        <v>626</v>
      </c>
      <c r="G401" s="12" t="s">
        <v>23</v>
      </c>
      <c r="H401" s="15"/>
      <c r="I401" s="15"/>
      <c r="J401" s="15">
        <f t="shared" si="10"/>
        <v>0</v>
      </c>
    </row>
    <row r="402" ht="28.8" spans="1:10">
      <c r="A402" s="12"/>
      <c r="B402" s="12"/>
      <c r="C402" s="13" t="s">
        <v>856</v>
      </c>
      <c r="D402" s="14" t="s">
        <v>20</v>
      </c>
      <c r="E402" s="14" t="s">
        <v>624</v>
      </c>
      <c r="F402" s="13" t="s">
        <v>627</v>
      </c>
      <c r="G402" s="12" t="s">
        <v>23</v>
      </c>
      <c r="H402" s="15"/>
      <c r="I402" s="15"/>
      <c r="J402" s="15">
        <f t="shared" si="10"/>
        <v>0</v>
      </c>
    </row>
    <row r="403" ht="28.8" spans="1:10">
      <c r="A403" s="12"/>
      <c r="B403" s="12"/>
      <c r="C403" s="13" t="s">
        <v>856</v>
      </c>
      <c r="D403" s="14" t="s">
        <v>20</v>
      </c>
      <c r="E403" s="14" t="s">
        <v>624</v>
      </c>
      <c r="F403" s="13" t="s">
        <v>628</v>
      </c>
      <c r="G403" s="12" t="s">
        <v>23</v>
      </c>
      <c r="H403" s="15"/>
      <c r="I403" s="15"/>
      <c r="J403" s="15">
        <f t="shared" si="10"/>
        <v>0</v>
      </c>
    </row>
    <row r="404" ht="28.8" spans="1:10">
      <c r="A404" s="12"/>
      <c r="B404" s="12"/>
      <c r="C404" s="13" t="s">
        <v>856</v>
      </c>
      <c r="D404" s="14" t="s">
        <v>11</v>
      </c>
      <c r="E404" s="14" t="s">
        <v>630</v>
      </c>
      <c r="F404" s="13" t="s">
        <v>631</v>
      </c>
      <c r="G404" s="12" t="s">
        <v>17</v>
      </c>
      <c r="H404" s="15"/>
      <c r="I404" s="15"/>
      <c r="J404" s="15">
        <f t="shared" si="10"/>
        <v>0</v>
      </c>
    </row>
    <row r="405" ht="28.8" spans="1:10">
      <c r="A405" s="12"/>
      <c r="B405" s="12"/>
      <c r="C405" s="13" t="s">
        <v>858</v>
      </c>
      <c r="D405" s="14" t="s">
        <v>20</v>
      </c>
      <c r="E405" s="14" t="s">
        <v>47</v>
      </c>
      <c r="F405" s="13" t="s">
        <v>48</v>
      </c>
      <c r="G405" s="12" t="s">
        <v>49</v>
      </c>
      <c r="H405" s="15"/>
      <c r="I405" s="15"/>
      <c r="J405" s="15">
        <f t="shared" si="10"/>
        <v>0</v>
      </c>
    </row>
    <row r="406" ht="28.8" spans="1:10">
      <c r="A406" s="12"/>
      <c r="B406" s="12"/>
      <c r="C406" s="13" t="s">
        <v>858</v>
      </c>
      <c r="D406" s="14" t="s">
        <v>20</v>
      </c>
      <c r="E406" s="14" t="s">
        <v>624</v>
      </c>
      <c r="F406" s="13" t="s">
        <v>625</v>
      </c>
      <c r="G406" s="12" t="s">
        <v>23</v>
      </c>
      <c r="H406" s="15"/>
      <c r="I406" s="15"/>
      <c r="J406" s="15">
        <f t="shared" si="10"/>
        <v>0</v>
      </c>
    </row>
    <row r="407" ht="28.8" spans="1:10">
      <c r="A407" s="12"/>
      <c r="B407" s="12"/>
      <c r="C407" s="13" t="s">
        <v>858</v>
      </c>
      <c r="D407" s="14" t="s">
        <v>20</v>
      </c>
      <c r="E407" s="14" t="s">
        <v>624</v>
      </c>
      <c r="F407" s="13" t="s">
        <v>626</v>
      </c>
      <c r="G407" s="12" t="s">
        <v>23</v>
      </c>
      <c r="H407" s="15"/>
      <c r="I407" s="15"/>
      <c r="J407" s="15">
        <f t="shared" si="10"/>
        <v>0</v>
      </c>
    </row>
    <row r="408" ht="28.8" spans="1:10">
      <c r="A408" s="12"/>
      <c r="B408" s="12"/>
      <c r="C408" s="13" t="s">
        <v>858</v>
      </c>
      <c r="D408" s="14" t="s">
        <v>20</v>
      </c>
      <c r="E408" s="14" t="s">
        <v>624</v>
      </c>
      <c r="F408" s="13" t="s">
        <v>627</v>
      </c>
      <c r="G408" s="12" t="s">
        <v>23</v>
      </c>
      <c r="H408" s="15"/>
      <c r="I408" s="15"/>
      <c r="J408" s="15">
        <f t="shared" si="10"/>
        <v>0</v>
      </c>
    </row>
    <row r="409" ht="28.8" spans="1:10">
      <c r="A409" s="12"/>
      <c r="B409" s="12"/>
      <c r="C409" s="13" t="s">
        <v>858</v>
      </c>
      <c r="D409" s="14" t="s">
        <v>20</v>
      </c>
      <c r="E409" s="14" t="s">
        <v>624</v>
      </c>
      <c r="F409" s="13" t="s">
        <v>628</v>
      </c>
      <c r="G409" s="12" t="s">
        <v>23</v>
      </c>
      <c r="H409" s="15"/>
      <c r="I409" s="15"/>
      <c r="J409" s="15">
        <f t="shared" si="10"/>
        <v>0</v>
      </c>
    </row>
    <row r="410" ht="28.8" spans="1:10">
      <c r="A410" s="12"/>
      <c r="B410" s="12"/>
      <c r="C410" s="13" t="s">
        <v>858</v>
      </c>
      <c r="D410" s="14" t="s">
        <v>11</v>
      </c>
      <c r="E410" s="14" t="s">
        <v>630</v>
      </c>
      <c r="F410" s="13" t="s">
        <v>631</v>
      </c>
      <c r="G410" s="12" t="s">
        <v>17</v>
      </c>
      <c r="H410" s="15"/>
      <c r="I410" s="15"/>
      <c r="J410" s="15">
        <f t="shared" si="10"/>
        <v>0</v>
      </c>
    </row>
    <row r="411" ht="28.8" spans="1:10">
      <c r="A411" s="12"/>
      <c r="B411" s="12"/>
      <c r="C411" s="13" t="s">
        <v>860</v>
      </c>
      <c r="D411" s="14" t="s">
        <v>11</v>
      </c>
      <c r="E411" s="14" t="s">
        <v>634</v>
      </c>
      <c r="F411" s="13" t="s">
        <v>635</v>
      </c>
      <c r="G411" s="12" t="s">
        <v>23</v>
      </c>
      <c r="H411" s="15"/>
      <c r="I411" s="15"/>
      <c r="J411" s="15">
        <f t="shared" si="10"/>
        <v>0</v>
      </c>
    </row>
    <row r="412" ht="28.8" spans="1:10">
      <c r="A412" s="12"/>
      <c r="B412" s="12"/>
      <c r="C412" s="13" t="s">
        <v>860</v>
      </c>
      <c r="D412" s="14" t="s">
        <v>20</v>
      </c>
      <c r="E412" s="14" t="s">
        <v>636</v>
      </c>
      <c r="F412" s="13" t="s">
        <v>637</v>
      </c>
      <c r="G412" s="12" t="s">
        <v>23</v>
      </c>
      <c r="H412" s="15"/>
      <c r="I412" s="15"/>
      <c r="J412" s="15">
        <f t="shared" si="10"/>
        <v>0</v>
      </c>
    </row>
    <row r="413" ht="28.8" spans="1:10">
      <c r="A413" s="12"/>
      <c r="B413" s="12"/>
      <c r="C413" s="13" t="s">
        <v>862</v>
      </c>
      <c r="D413" s="14" t="s">
        <v>11</v>
      </c>
      <c r="E413" s="14" t="s">
        <v>634</v>
      </c>
      <c r="F413" s="13" t="s">
        <v>640</v>
      </c>
      <c r="G413" s="12" t="s">
        <v>23</v>
      </c>
      <c r="H413" s="15"/>
      <c r="I413" s="15"/>
      <c r="J413" s="15">
        <f t="shared" si="10"/>
        <v>0</v>
      </c>
    </row>
    <row r="414" ht="28.8" spans="1:10">
      <c r="A414" s="12"/>
      <c r="B414" s="12"/>
      <c r="C414" s="13" t="s">
        <v>862</v>
      </c>
      <c r="D414" s="14" t="s">
        <v>20</v>
      </c>
      <c r="E414" s="14" t="s">
        <v>636</v>
      </c>
      <c r="F414" s="13" t="s">
        <v>641</v>
      </c>
      <c r="G414" s="12" t="s">
        <v>23</v>
      </c>
      <c r="H414" s="15"/>
      <c r="I414" s="15"/>
      <c r="J414" s="15">
        <f t="shared" si="10"/>
        <v>0</v>
      </c>
    </row>
    <row r="415" ht="28.8" spans="1:10">
      <c r="A415" s="12"/>
      <c r="B415" s="12"/>
      <c r="C415" s="13" t="s">
        <v>864</v>
      </c>
      <c r="D415" s="14" t="s">
        <v>11</v>
      </c>
      <c r="E415" s="14" t="s">
        <v>634</v>
      </c>
      <c r="F415" s="13" t="s">
        <v>650</v>
      </c>
      <c r="G415" s="12" t="s">
        <v>23</v>
      </c>
      <c r="H415" s="15"/>
      <c r="I415" s="15"/>
      <c r="J415" s="15">
        <f t="shared" si="10"/>
        <v>0</v>
      </c>
    </row>
    <row r="416" ht="28.8" spans="1:10">
      <c r="A416" s="12"/>
      <c r="B416" s="12"/>
      <c r="C416" s="13" t="s">
        <v>864</v>
      </c>
      <c r="D416" s="14" t="s">
        <v>20</v>
      </c>
      <c r="E416" s="14" t="s">
        <v>636</v>
      </c>
      <c r="F416" s="13" t="s">
        <v>644</v>
      </c>
      <c r="G416" s="12" t="s">
        <v>23</v>
      </c>
      <c r="H416" s="15"/>
      <c r="I416" s="15"/>
      <c r="J416" s="15">
        <f t="shared" si="10"/>
        <v>0</v>
      </c>
    </row>
    <row r="417" ht="28.8" spans="1:10">
      <c r="A417" s="12"/>
      <c r="B417" s="12"/>
      <c r="C417" s="13" t="s">
        <v>866</v>
      </c>
      <c r="D417" s="14" t="s">
        <v>11</v>
      </c>
      <c r="E417" s="14" t="s">
        <v>634</v>
      </c>
      <c r="F417" s="13" t="s">
        <v>635</v>
      </c>
      <c r="G417" s="12" t="s">
        <v>23</v>
      </c>
      <c r="H417" s="15"/>
      <c r="I417" s="15"/>
      <c r="J417" s="15">
        <f t="shared" si="10"/>
        <v>0</v>
      </c>
    </row>
    <row r="418" ht="28.8" spans="1:10">
      <c r="A418" s="12"/>
      <c r="B418" s="12"/>
      <c r="C418" s="13" t="s">
        <v>866</v>
      </c>
      <c r="D418" s="14" t="s">
        <v>11</v>
      </c>
      <c r="E418" s="14" t="s">
        <v>634</v>
      </c>
      <c r="F418" s="13" t="s">
        <v>640</v>
      </c>
      <c r="G418" s="12" t="s">
        <v>23</v>
      </c>
      <c r="H418" s="15"/>
      <c r="I418" s="15"/>
      <c r="J418" s="15">
        <f t="shared" si="10"/>
        <v>0</v>
      </c>
    </row>
    <row r="419" ht="28.8" spans="1:10">
      <c r="A419" s="12"/>
      <c r="B419" s="12"/>
      <c r="C419" s="13" t="s">
        <v>866</v>
      </c>
      <c r="D419" s="14" t="s">
        <v>20</v>
      </c>
      <c r="E419" s="14" t="s">
        <v>636</v>
      </c>
      <c r="F419" s="13" t="s">
        <v>647</v>
      </c>
      <c r="G419" s="12" t="s">
        <v>23</v>
      </c>
      <c r="H419" s="15"/>
      <c r="I419" s="15"/>
      <c r="J419" s="15">
        <f t="shared" si="10"/>
        <v>0</v>
      </c>
    </row>
    <row r="420" ht="28.8" spans="1:10">
      <c r="A420" s="12"/>
      <c r="B420" s="12"/>
      <c r="C420" s="13" t="s">
        <v>868</v>
      </c>
      <c r="D420" s="14" t="s">
        <v>11</v>
      </c>
      <c r="E420" s="14" t="s">
        <v>634</v>
      </c>
      <c r="F420" s="13" t="s">
        <v>640</v>
      </c>
      <c r="G420" s="12" t="s">
        <v>23</v>
      </c>
      <c r="H420" s="15"/>
      <c r="I420" s="15"/>
      <c r="J420" s="15">
        <f t="shared" si="10"/>
        <v>0</v>
      </c>
    </row>
    <row r="421" ht="28.8" spans="1:10">
      <c r="A421" s="12"/>
      <c r="B421" s="12"/>
      <c r="C421" s="13" t="s">
        <v>868</v>
      </c>
      <c r="D421" s="14" t="s">
        <v>11</v>
      </c>
      <c r="E421" s="14" t="s">
        <v>634</v>
      </c>
      <c r="F421" s="13" t="s">
        <v>650</v>
      </c>
      <c r="G421" s="12" t="s">
        <v>23</v>
      </c>
      <c r="H421" s="15"/>
      <c r="I421" s="15"/>
      <c r="J421" s="15">
        <f t="shared" si="10"/>
        <v>0</v>
      </c>
    </row>
    <row r="422" ht="28.8" spans="1:10">
      <c r="A422" s="12"/>
      <c r="B422" s="12"/>
      <c r="C422" s="13" t="s">
        <v>868</v>
      </c>
      <c r="D422" s="14" t="s">
        <v>20</v>
      </c>
      <c r="E422" s="14" t="s">
        <v>636</v>
      </c>
      <c r="F422" s="13" t="s">
        <v>651</v>
      </c>
      <c r="G422" s="12" t="s">
        <v>23</v>
      </c>
      <c r="H422" s="15"/>
      <c r="I422" s="15"/>
      <c r="J422" s="15">
        <f t="shared" si="10"/>
        <v>0</v>
      </c>
    </row>
    <row r="423" ht="28.8" spans="1:10">
      <c r="A423" s="12"/>
      <c r="B423" s="12"/>
      <c r="C423" s="13" t="s">
        <v>870</v>
      </c>
      <c r="D423" s="14" t="s">
        <v>11</v>
      </c>
      <c r="E423" s="14" t="s">
        <v>634</v>
      </c>
      <c r="F423" s="13" t="s">
        <v>635</v>
      </c>
      <c r="G423" s="12" t="s">
        <v>23</v>
      </c>
      <c r="H423" s="15"/>
      <c r="I423" s="15"/>
      <c r="J423" s="15">
        <f t="shared" si="10"/>
        <v>0</v>
      </c>
    </row>
    <row r="424" ht="28.8" spans="1:10">
      <c r="A424" s="12"/>
      <c r="B424" s="12"/>
      <c r="C424" s="13" t="s">
        <v>870</v>
      </c>
      <c r="D424" s="14" t="s">
        <v>11</v>
      </c>
      <c r="E424" s="14" t="s">
        <v>634</v>
      </c>
      <c r="F424" s="13" t="s">
        <v>650</v>
      </c>
      <c r="G424" s="12" t="s">
        <v>23</v>
      </c>
      <c r="H424" s="15"/>
      <c r="I424" s="15"/>
      <c r="J424" s="15">
        <f t="shared" si="10"/>
        <v>0</v>
      </c>
    </row>
    <row r="425" ht="28.8" spans="1:10">
      <c r="A425" s="12"/>
      <c r="B425" s="12"/>
      <c r="C425" s="13" t="s">
        <v>870</v>
      </c>
      <c r="D425" s="14" t="s">
        <v>20</v>
      </c>
      <c r="E425" s="14" t="s">
        <v>636</v>
      </c>
      <c r="F425" s="13" t="s">
        <v>654</v>
      </c>
      <c r="G425" s="12" t="s">
        <v>23</v>
      </c>
      <c r="H425" s="15"/>
      <c r="I425" s="15"/>
      <c r="J425" s="15">
        <f t="shared" si="10"/>
        <v>0</v>
      </c>
    </row>
    <row r="426" spans="1:10">
      <c r="A426" s="12"/>
      <c r="B426" s="12"/>
      <c r="C426" s="13" t="s">
        <v>872</v>
      </c>
      <c r="D426" s="14" t="s">
        <v>11</v>
      </c>
      <c r="E426" s="14" t="s">
        <v>12</v>
      </c>
      <c r="F426" s="13" t="s">
        <v>13</v>
      </c>
      <c r="G426" s="12" t="s">
        <v>14</v>
      </c>
      <c r="H426" s="15"/>
      <c r="I426" s="15"/>
      <c r="J426" s="15">
        <f t="shared" si="10"/>
        <v>0</v>
      </c>
    </row>
    <row r="427" spans="1:10">
      <c r="A427" s="12"/>
      <c r="B427" s="12"/>
      <c r="C427" s="13" t="s">
        <v>872</v>
      </c>
      <c r="D427" s="14" t="s">
        <v>11</v>
      </c>
      <c r="E427" s="14" t="s">
        <v>12</v>
      </c>
      <c r="F427" s="13" t="s">
        <v>15</v>
      </c>
      <c r="G427" s="12" t="s">
        <v>14</v>
      </c>
      <c r="H427" s="15"/>
      <c r="I427" s="15"/>
      <c r="J427" s="15">
        <f t="shared" si="10"/>
        <v>0</v>
      </c>
    </row>
    <row r="428" spans="1:10">
      <c r="A428" s="12"/>
      <c r="B428" s="12"/>
      <c r="C428" s="13" t="s">
        <v>872</v>
      </c>
      <c r="D428" s="14" t="s">
        <v>11</v>
      </c>
      <c r="E428" s="14" t="s">
        <v>12</v>
      </c>
      <c r="F428" s="13" t="s">
        <v>28</v>
      </c>
      <c r="G428" s="12" t="s">
        <v>14</v>
      </c>
      <c r="H428" s="15"/>
      <c r="I428" s="15"/>
      <c r="J428" s="15">
        <f t="shared" si="10"/>
        <v>0</v>
      </c>
    </row>
    <row r="429" ht="28.8" spans="1:10">
      <c r="A429" s="12"/>
      <c r="B429" s="12"/>
      <c r="C429" s="13" t="s">
        <v>872</v>
      </c>
      <c r="D429" s="14" t="s">
        <v>20</v>
      </c>
      <c r="E429" s="14" t="s">
        <v>59</v>
      </c>
      <c r="F429" s="13" t="s">
        <v>667</v>
      </c>
      <c r="G429" s="12" t="s">
        <v>49</v>
      </c>
      <c r="H429" s="15"/>
      <c r="I429" s="15"/>
      <c r="J429" s="15">
        <f t="shared" si="10"/>
        <v>0</v>
      </c>
    </row>
    <row r="430" spans="1:10">
      <c r="A430" s="12"/>
      <c r="B430" s="12"/>
      <c r="C430" s="13" t="s">
        <v>872</v>
      </c>
      <c r="D430" s="14" t="s">
        <v>20</v>
      </c>
      <c r="E430" s="14" t="s">
        <v>59</v>
      </c>
      <c r="F430" s="13" t="s">
        <v>668</v>
      </c>
      <c r="G430" s="12" t="s">
        <v>49</v>
      </c>
      <c r="H430" s="15"/>
      <c r="I430" s="15"/>
      <c r="J430" s="15">
        <f t="shared" si="10"/>
        <v>0</v>
      </c>
    </row>
    <row r="431" spans="1:10">
      <c r="A431" s="12"/>
      <c r="B431" s="12"/>
      <c r="C431" s="13" t="s">
        <v>872</v>
      </c>
      <c r="D431" s="14" t="s">
        <v>20</v>
      </c>
      <c r="E431" s="14" t="s">
        <v>59</v>
      </c>
      <c r="F431" s="13" t="s">
        <v>60</v>
      </c>
      <c r="G431" s="12" t="s">
        <v>49</v>
      </c>
      <c r="H431" s="15"/>
      <c r="I431" s="15"/>
      <c r="J431" s="15">
        <f t="shared" si="10"/>
        <v>0</v>
      </c>
    </row>
    <row r="432" spans="1:10">
      <c r="A432" s="12"/>
      <c r="B432" s="12"/>
      <c r="C432" s="13" t="s">
        <v>872</v>
      </c>
      <c r="D432" s="14" t="s">
        <v>20</v>
      </c>
      <c r="E432" s="14" t="s">
        <v>106</v>
      </c>
      <c r="F432" s="13" t="s">
        <v>873</v>
      </c>
      <c r="G432" s="12" t="s">
        <v>108</v>
      </c>
      <c r="H432" s="15"/>
      <c r="I432" s="15"/>
      <c r="J432" s="15">
        <f t="shared" si="10"/>
        <v>0</v>
      </c>
    </row>
    <row r="433" ht="28.8" spans="1:10">
      <c r="A433" s="12"/>
      <c r="B433" s="12"/>
      <c r="C433" s="13" t="s">
        <v>875</v>
      </c>
      <c r="D433" s="14" t="s">
        <v>11</v>
      </c>
      <c r="E433" s="14" t="s">
        <v>24</v>
      </c>
      <c r="F433" s="13" t="s">
        <v>604</v>
      </c>
      <c r="G433" s="12" t="s">
        <v>34</v>
      </c>
      <c r="H433" s="15"/>
      <c r="I433" s="15"/>
      <c r="J433" s="15">
        <f t="shared" si="10"/>
        <v>0</v>
      </c>
    </row>
    <row r="434" ht="28.8" spans="1:10">
      <c r="A434" s="12"/>
      <c r="B434" s="12"/>
      <c r="C434" s="13" t="s">
        <v>875</v>
      </c>
      <c r="D434" s="14" t="s">
        <v>11</v>
      </c>
      <c r="E434" s="14" t="s">
        <v>24</v>
      </c>
      <c r="F434" s="13" t="s">
        <v>605</v>
      </c>
      <c r="G434" s="12" t="s">
        <v>34</v>
      </c>
      <c r="H434" s="15"/>
      <c r="I434" s="15"/>
      <c r="J434" s="15">
        <f t="shared" si="10"/>
        <v>0</v>
      </c>
    </row>
    <row r="435" ht="28.8" spans="1:10">
      <c r="A435" s="12"/>
      <c r="B435" s="12"/>
      <c r="C435" s="13" t="s">
        <v>875</v>
      </c>
      <c r="D435" s="14" t="s">
        <v>11</v>
      </c>
      <c r="E435" s="14" t="s">
        <v>24</v>
      </c>
      <c r="F435" s="13" t="s">
        <v>606</v>
      </c>
      <c r="G435" s="12" t="s">
        <v>34</v>
      </c>
      <c r="H435" s="15"/>
      <c r="I435" s="15"/>
      <c r="J435" s="15">
        <f t="shared" si="10"/>
        <v>0</v>
      </c>
    </row>
    <row r="436" ht="28.8" spans="1:10">
      <c r="A436" s="12"/>
      <c r="B436" s="12"/>
      <c r="C436" s="13" t="s">
        <v>875</v>
      </c>
      <c r="D436" s="14" t="s">
        <v>20</v>
      </c>
      <c r="E436" s="14" t="s">
        <v>47</v>
      </c>
      <c r="F436" s="13" t="s">
        <v>50</v>
      </c>
      <c r="G436" s="12" t="s">
        <v>49</v>
      </c>
      <c r="H436" s="15"/>
      <c r="I436" s="15"/>
      <c r="J436" s="15">
        <f t="shared" si="10"/>
        <v>0</v>
      </c>
    </row>
    <row r="437" ht="28.8" spans="1:10">
      <c r="A437" s="12"/>
      <c r="B437" s="12"/>
      <c r="C437" s="13" t="s">
        <v>875</v>
      </c>
      <c r="D437" s="14" t="s">
        <v>20</v>
      </c>
      <c r="E437" s="14" t="s">
        <v>61</v>
      </c>
      <c r="F437" s="13" t="s">
        <v>78</v>
      </c>
      <c r="G437" s="12" t="s">
        <v>49</v>
      </c>
      <c r="H437" s="15"/>
      <c r="I437" s="15"/>
      <c r="J437" s="15">
        <f t="shared" si="10"/>
        <v>0</v>
      </c>
    </row>
    <row r="438" ht="28.8" spans="1:10">
      <c r="A438" s="12"/>
      <c r="B438" s="12"/>
      <c r="C438" s="13" t="s">
        <v>875</v>
      </c>
      <c r="D438" s="14" t="s">
        <v>20</v>
      </c>
      <c r="E438" s="14" t="s">
        <v>61</v>
      </c>
      <c r="F438" s="13" t="s">
        <v>607</v>
      </c>
      <c r="G438" s="12" t="s">
        <v>23</v>
      </c>
      <c r="H438" s="15"/>
      <c r="I438" s="15"/>
      <c r="J438" s="15">
        <f t="shared" si="10"/>
        <v>0</v>
      </c>
    </row>
    <row r="439" ht="28.8" spans="1:10">
      <c r="A439" s="12"/>
      <c r="B439" s="12"/>
      <c r="C439" s="13" t="s">
        <v>875</v>
      </c>
      <c r="D439" s="14" t="s">
        <v>20</v>
      </c>
      <c r="E439" s="14" t="s">
        <v>84</v>
      </c>
      <c r="F439" s="13" t="s">
        <v>86</v>
      </c>
      <c r="G439" s="12" t="s">
        <v>49</v>
      </c>
      <c r="H439" s="15"/>
      <c r="I439" s="15"/>
      <c r="J439" s="15">
        <f t="shared" si="10"/>
        <v>0</v>
      </c>
    </row>
    <row r="440" ht="28.8" spans="1:10">
      <c r="A440" s="12"/>
      <c r="B440" s="12"/>
      <c r="C440" s="13" t="s">
        <v>875</v>
      </c>
      <c r="D440" s="14" t="s">
        <v>20</v>
      </c>
      <c r="E440" s="14" t="s">
        <v>84</v>
      </c>
      <c r="F440" s="13" t="s">
        <v>88</v>
      </c>
      <c r="G440" s="12" t="s">
        <v>49</v>
      </c>
      <c r="H440" s="15"/>
      <c r="I440" s="15"/>
      <c r="J440" s="15">
        <f t="shared" si="10"/>
        <v>0</v>
      </c>
    </row>
    <row r="441" ht="28.8" spans="1:10">
      <c r="A441" s="12"/>
      <c r="B441" s="12"/>
      <c r="C441" s="13" t="s">
        <v>875</v>
      </c>
      <c r="D441" s="14" t="s">
        <v>20</v>
      </c>
      <c r="E441" s="14" t="s">
        <v>84</v>
      </c>
      <c r="F441" s="13" t="s">
        <v>89</v>
      </c>
      <c r="G441" s="12" t="s">
        <v>49</v>
      </c>
      <c r="H441" s="15"/>
      <c r="I441" s="15"/>
      <c r="J441" s="15">
        <f t="shared" si="10"/>
        <v>0</v>
      </c>
    </row>
    <row r="442" ht="28.8" spans="1:10">
      <c r="A442" s="12"/>
      <c r="B442" s="12"/>
      <c r="C442" s="13" t="s">
        <v>875</v>
      </c>
      <c r="D442" s="14" t="s">
        <v>20</v>
      </c>
      <c r="E442" s="14" t="s">
        <v>84</v>
      </c>
      <c r="F442" s="13" t="s">
        <v>608</v>
      </c>
      <c r="G442" s="12" t="s">
        <v>100</v>
      </c>
      <c r="H442" s="15"/>
      <c r="I442" s="15"/>
      <c r="J442" s="15">
        <f t="shared" si="10"/>
        <v>0</v>
      </c>
    </row>
    <row r="443" ht="28.8" spans="1:10">
      <c r="A443" s="12"/>
      <c r="B443" s="12"/>
      <c r="C443" s="13" t="s">
        <v>875</v>
      </c>
      <c r="D443" s="14" t="s">
        <v>20</v>
      </c>
      <c r="E443" s="14" t="s">
        <v>84</v>
      </c>
      <c r="F443" s="13" t="s">
        <v>609</v>
      </c>
      <c r="G443" s="12" t="s">
        <v>63</v>
      </c>
      <c r="H443" s="15"/>
      <c r="I443" s="15"/>
      <c r="J443" s="15">
        <f t="shared" si="10"/>
        <v>0</v>
      </c>
    </row>
    <row r="444" ht="28.8" spans="1:10">
      <c r="A444" s="12"/>
      <c r="B444" s="12"/>
      <c r="C444" s="13" t="s">
        <v>875</v>
      </c>
      <c r="D444" s="14" t="s">
        <v>20</v>
      </c>
      <c r="E444" s="14" t="s">
        <v>84</v>
      </c>
      <c r="F444" s="13" t="s">
        <v>610</v>
      </c>
      <c r="G444" s="12" t="s">
        <v>611</v>
      </c>
      <c r="H444" s="15"/>
      <c r="I444" s="15"/>
      <c r="J444" s="15">
        <f t="shared" si="10"/>
        <v>0</v>
      </c>
    </row>
    <row r="445" ht="28.8" spans="1:10">
      <c r="A445" s="12"/>
      <c r="B445" s="12"/>
      <c r="C445" s="13" t="s">
        <v>875</v>
      </c>
      <c r="D445" s="14" t="s">
        <v>20</v>
      </c>
      <c r="E445" s="14" t="s">
        <v>84</v>
      </c>
      <c r="F445" s="13" t="s">
        <v>612</v>
      </c>
      <c r="G445" s="12" t="s">
        <v>611</v>
      </c>
      <c r="H445" s="15"/>
      <c r="I445" s="15"/>
      <c r="J445" s="15">
        <f t="shared" si="10"/>
        <v>0</v>
      </c>
    </row>
    <row r="446" ht="28.8" spans="1:10">
      <c r="A446" s="12"/>
      <c r="B446" s="12"/>
      <c r="C446" s="13" t="s">
        <v>877</v>
      </c>
      <c r="D446" s="14" t="s">
        <v>20</v>
      </c>
      <c r="E446" s="14" t="s">
        <v>47</v>
      </c>
      <c r="F446" s="13" t="s">
        <v>48</v>
      </c>
      <c r="G446" s="12" t="s">
        <v>49</v>
      </c>
      <c r="H446" s="15"/>
      <c r="I446" s="15"/>
      <c r="J446" s="15">
        <f t="shared" ref="J446:J509" si="11">+ROUND(PRODUCT(H446*I446),0)</f>
        <v>0</v>
      </c>
    </row>
    <row r="447" ht="28.8" spans="1:10">
      <c r="A447" s="12"/>
      <c r="B447" s="12"/>
      <c r="C447" s="13" t="s">
        <v>877</v>
      </c>
      <c r="D447" s="14" t="s">
        <v>20</v>
      </c>
      <c r="E447" s="14" t="s">
        <v>624</v>
      </c>
      <c r="F447" s="13" t="s">
        <v>625</v>
      </c>
      <c r="G447" s="12" t="s">
        <v>23</v>
      </c>
      <c r="H447" s="15"/>
      <c r="I447" s="15"/>
      <c r="J447" s="15">
        <f t="shared" si="11"/>
        <v>0</v>
      </c>
    </row>
    <row r="448" ht="28.8" spans="1:10">
      <c r="A448" s="12"/>
      <c r="B448" s="12"/>
      <c r="C448" s="13" t="s">
        <v>877</v>
      </c>
      <c r="D448" s="14" t="s">
        <v>20</v>
      </c>
      <c r="E448" s="14" t="s">
        <v>624</v>
      </c>
      <c r="F448" s="13" t="s">
        <v>626</v>
      </c>
      <c r="G448" s="12" t="s">
        <v>23</v>
      </c>
      <c r="H448" s="15"/>
      <c r="I448" s="15"/>
      <c r="J448" s="15">
        <f t="shared" si="11"/>
        <v>0</v>
      </c>
    </row>
    <row r="449" ht="28.8" spans="1:10">
      <c r="A449" s="12"/>
      <c r="B449" s="12"/>
      <c r="C449" s="13" t="s">
        <v>877</v>
      </c>
      <c r="D449" s="14" t="s">
        <v>20</v>
      </c>
      <c r="E449" s="14" t="s">
        <v>624</v>
      </c>
      <c r="F449" s="13" t="s">
        <v>627</v>
      </c>
      <c r="G449" s="12" t="s">
        <v>23</v>
      </c>
      <c r="H449" s="15"/>
      <c r="I449" s="15"/>
      <c r="J449" s="15">
        <f t="shared" si="11"/>
        <v>0</v>
      </c>
    </row>
    <row r="450" ht="28.8" spans="1:10">
      <c r="A450" s="12"/>
      <c r="B450" s="12"/>
      <c r="C450" s="13" t="s">
        <v>877</v>
      </c>
      <c r="D450" s="14" t="s">
        <v>20</v>
      </c>
      <c r="E450" s="14" t="s">
        <v>624</v>
      </c>
      <c r="F450" s="13" t="s">
        <v>628</v>
      </c>
      <c r="G450" s="12" t="s">
        <v>23</v>
      </c>
      <c r="H450" s="15"/>
      <c r="I450" s="15"/>
      <c r="J450" s="15">
        <f t="shared" si="11"/>
        <v>0</v>
      </c>
    </row>
    <row r="451" ht="28.8" spans="1:10">
      <c r="A451" s="12"/>
      <c r="B451" s="12"/>
      <c r="C451" s="13" t="s">
        <v>877</v>
      </c>
      <c r="D451" s="14" t="s">
        <v>11</v>
      </c>
      <c r="E451" s="14" t="s">
        <v>630</v>
      </c>
      <c r="F451" s="13" t="s">
        <v>631</v>
      </c>
      <c r="G451" s="12" t="s">
        <v>17</v>
      </c>
      <c r="H451" s="15"/>
      <c r="I451" s="15"/>
      <c r="J451" s="15">
        <f t="shared" si="11"/>
        <v>0</v>
      </c>
    </row>
    <row r="452" ht="28.8" spans="1:10">
      <c r="A452" s="12"/>
      <c r="B452" s="12"/>
      <c r="C452" s="13" t="s">
        <v>879</v>
      </c>
      <c r="D452" s="14" t="s">
        <v>20</v>
      </c>
      <c r="E452" s="14" t="s">
        <v>47</v>
      </c>
      <c r="F452" s="13" t="s">
        <v>48</v>
      </c>
      <c r="G452" s="12" t="s">
        <v>49</v>
      </c>
      <c r="H452" s="15"/>
      <c r="I452" s="15"/>
      <c r="J452" s="15">
        <f t="shared" si="11"/>
        <v>0</v>
      </c>
    </row>
    <row r="453" ht="28.8" spans="1:10">
      <c r="A453" s="12"/>
      <c r="B453" s="12"/>
      <c r="C453" s="13" t="s">
        <v>879</v>
      </c>
      <c r="D453" s="14" t="s">
        <v>20</v>
      </c>
      <c r="E453" s="14" t="s">
        <v>624</v>
      </c>
      <c r="F453" s="13" t="s">
        <v>625</v>
      </c>
      <c r="G453" s="12" t="s">
        <v>23</v>
      </c>
      <c r="H453" s="15"/>
      <c r="I453" s="15"/>
      <c r="J453" s="15">
        <f t="shared" si="11"/>
        <v>0</v>
      </c>
    </row>
    <row r="454" ht="28.8" spans="1:10">
      <c r="A454" s="12"/>
      <c r="B454" s="12"/>
      <c r="C454" s="13" t="s">
        <v>879</v>
      </c>
      <c r="D454" s="14" t="s">
        <v>20</v>
      </c>
      <c r="E454" s="14" t="s">
        <v>624</v>
      </c>
      <c r="F454" s="13" t="s">
        <v>626</v>
      </c>
      <c r="G454" s="12" t="s">
        <v>23</v>
      </c>
      <c r="H454" s="15"/>
      <c r="I454" s="15"/>
      <c r="J454" s="15">
        <f t="shared" si="11"/>
        <v>0</v>
      </c>
    </row>
    <row r="455" ht="28.8" spans="1:10">
      <c r="A455" s="12"/>
      <c r="B455" s="12"/>
      <c r="C455" s="13" t="s">
        <v>879</v>
      </c>
      <c r="D455" s="14" t="s">
        <v>20</v>
      </c>
      <c r="E455" s="14" t="s">
        <v>624</v>
      </c>
      <c r="F455" s="13" t="s">
        <v>627</v>
      </c>
      <c r="G455" s="12" t="s">
        <v>23</v>
      </c>
      <c r="H455" s="15"/>
      <c r="I455" s="15"/>
      <c r="J455" s="15">
        <f t="shared" si="11"/>
        <v>0</v>
      </c>
    </row>
    <row r="456" ht="28.8" spans="1:10">
      <c r="A456" s="12"/>
      <c r="B456" s="12"/>
      <c r="C456" s="13" t="s">
        <v>879</v>
      </c>
      <c r="D456" s="14" t="s">
        <v>20</v>
      </c>
      <c r="E456" s="14" t="s">
        <v>624</v>
      </c>
      <c r="F456" s="13" t="s">
        <v>628</v>
      </c>
      <c r="G456" s="12" t="s">
        <v>23</v>
      </c>
      <c r="H456" s="15"/>
      <c r="I456" s="15"/>
      <c r="J456" s="15">
        <f t="shared" si="11"/>
        <v>0</v>
      </c>
    </row>
    <row r="457" ht="28.8" spans="1:10">
      <c r="A457" s="12"/>
      <c r="B457" s="12"/>
      <c r="C457" s="13" t="s">
        <v>879</v>
      </c>
      <c r="D457" s="14" t="s">
        <v>11</v>
      </c>
      <c r="E457" s="14" t="s">
        <v>630</v>
      </c>
      <c r="F457" s="13" t="s">
        <v>631</v>
      </c>
      <c r="G457" s="12" t="s">
        <v>17</v>
      </c>
      <c r="H457" s="15"/>
      <c r="I457" s="15"/>
      <c r="J457" s="15">
        <f t="shared" si="11"/>
        <v>0</v>
      </c>
    </row>
    <row r="458" ht="28.8" spans="1:10">
      <c r="A458" s="12"/>
      <c r="B458" s="12"/>
      <c r="C458" s="13" t="s">
        <v>881</v>
      </c>
      <c r="D458" s="14" t="s">
        <v>20</v>
      </c>
      <c r="E458" s="14" t="s">
        <v>47</v>
      </c>
      <c r="F458" s="13" t="s">
        <v>48</v>
      </c>
      <c r="G458" s="12" t="s">
        <v>49</v>
      </c>
      <c r="H458" s="15"/>
      <c r="I458" s="15"/>
      <c r="J458" s="15">
        <f t="shared" si="11"/>
        <v>0</v>
      </c>
    </row>
    <row r="459" ht="28.8" spans="1:10">
      <c r="A459" s="12"/>
      <c r="B459" s="12"/>
      <c r="C459" s="13" t="s">
        <v>881</v>
      </c>
      <c r="D459" s="14" t="s">
        <v>20</v>
      </c>
      <c r="E459" s="14" t="s">
        <v>624</v>
      </c>
      <c r="F459" s="13" t="s">
        <v>625</v>
      </c>
      <c r="G459" s="12" t="s">
        <v>23</v>
      </c>
      <c r="H459" s="15"/>
      <c r="I459" s="15"/>
      <c r="J459" s="15">
        <f t="shared" si="11"/>
        <v>0</v>
      </c>
    </row>
    <row r="460" ht="28.8" spans="1:10">
      <c r="A460" s="12"/>
      <c r="B460" s="12"/>
      <c r="C460" s="13" t="s">
        <v>881</v>
      </c>
      <c r="D460" s="14" t="s">
        <v>20</v>
      </c>
      <c r="E460" s="14" t="s">
        <v>624</v>
      </c>
      <c r="F460" s="13" t="s">
        <v>626</v>
      </c>
      <c r="G460" s="12" t="s">
        <v>23</v>
      </c>
      <c r="H460" s="15"/>
      <c r="I460" s="15"/>
      <c r="J460" s="15">
        <f t="shared" si="11"/>
        <v>0</v>
      </c>
    </row>
    <row r="461" ht="28.8" spans="1:10">
      <c r="A461" s="12"/>
      <c r="B461" s="12"/>
      <c r="C461" s="13" t="s">
        <v>881</v>
      </c>
      <c r="D461" s="14" t="s">
        <v>20</v>
      </c>
      <c r="E461" s="14" t="s">
        <v>624</v>
      </c>
      <c r="F461" s="13" t="s">
        <v>627</v>
      </c>
      <c r="G461" s="12" t="s">
        <v>23</v>
      </c>
      <c r="H461" s="15"/>
      <c r="I461" s="15"/>
      <c r="J461" s="15">
        <f t="shared" si="11"/>
        <v>0</v>
      </c>
    </row>
    <row r="462" ht="28.8" spans="1:10">
      <c r="A462" s="12"/>
      <c r="B462" s="12"/>
      <c r="C462" s="13" t="s">
        <v>881</v>
      </c>
      <c r="D462" s="14" t="s">
        <v>20</v>
      </c>
      <c r="E462" s="14" t="s">
        <v>624</v>
      </c>
      <c r="F462" s="13" t="s">
        <v>628</v>
      </c>
      <c r="G462" s="12" t="s">
        <v>23</v>
      </c>
      <c r="H462" s="15"/>
      <c r="I462" s="15"/>
      <c r="J462" s="15">
        <f t="shared" si="11"/>
        <v>0</v>
      </c>
    </row>
    <row r="463" ht="28.8" spans="1:10">
      <c r="A463" s="12"/>
      <c r="B463" s="12"/>
      <c r="C463" s="13" t="s">
        <v>881</v>
      </c>
      <c r="D463" s="14" t="s">
        <v>11</v>
      </c>
      <c r="E463" s="14" t="s">
        <v>630</v>
      </c>
      <c r="F463" s="13" t="s">
        <v>631</v>
      </c>
      <c r="G463" s="12" t="s">
        <v>17</v>
      </c>
      <c r="H463" s="15"/>
      <c r="I463" s="15"/>
      <c r="J463" s="15">
        <f t="shared" si="11"/>
        <v>0</v>
      </c>
    </row>
    <row r="464" ht="28.8" spans="1:10">
      <c r="A464" s="12"/>
      <c r="B464" s="12"/>
      <c r="C464" s="13" t="s">
        <v>883</v>
      </c>
      <c r="D464" s="14" t="s">
        <v>20</v>
      </c>
      <c r="E464" s="14" t="s">
        <v>47</v>
      </c>
      <c r="F464" s="13" t="s">
        <v>48</v>
      </c>
      <c r="G464" s="12" t="s">
        <v>49</v>
      </c>
      <c r="H464" s="15"/>
      <c r="I464" s="15"/>
      <c r="J464" s="15">
        <f t="shared" si="11"/>
        <v>0</v>
      </c>
    </row>
    <row r="465" ht="28.8" spans="1:10">
      <c r="A465" s="12"/>
      <c r="B465" s="12"/>
      <c r="C465" s="13" t="s">
        <v>883</v>
      </c>
      <c r="D465" s="14" t="s">
        <v>20</v>
      </c>
      <c r="E465" s="14" t="s">
        <v>624</v>
      </c>
      <c r="F465" s="13" t="s">
        <v>625</v>
      </c>
      <c r="G465" s="12" t="s">
        <v>23</v>
      </c>
      <c r="H465" s="15"/>
      <c r="I465" s="15"/>
      <c r="J465" s="15">
        <f t="shared" si="11"/>
        <v>0</v>
      </c>
    </row>
    <row r="466" ht="28.8" spans="1:10">
      <c r="A466" s="12"/>
      <c r="B466" s="12"/>
      <c r="C466" s="13" t="s">
        <v>883</v>
      </c>
      <c r="D466" s="14" t="s">
        <v>20</v>
      </c>
      <c r="E466" s="14" t="s">
        <v>624</v>
      </c>
      <c r="F466" s="13" t="s">
        <v>626</v>
      </c>
      <c r="G466" s="12" t="s">
        <v>23</v>
      </c>
      <c r="H466" s="15"/>
      <c r="I466" s="15"/>
      <c r="J466" s="15">
        <f t="shared" si="11"/>
        <v>0</v>
      </c>
    </row>
    <row r="467" ht="28.8" spans="1:10">
      <c r="A467" s="12"/>
      <c r="B467" s="12"/>
      <c r="C467" s="13" t="s">
        <v>883</v>
      </c>
      <c r="D467" s="14" t="s">
        <v>20</v>
      </c>
      <c r="E467" s="14" t="s">
        <v>624</v>
      </c>
      <c r="F467" s="13" t="s">
        <v>627</v>
      </c>
      <c r="G467" s="12" t="s">
        <v>23</v>
      </c>
      <c r="H467" s="15"/>
      <c r="I467" s="15"/>
      <c r="J467" s="15">
        <f t="shared" si="11"/>
        <v>0</v>
      </c>
    </row>
    <row r="468" ht="28.8" spans="1:10">
      <c r="A468" s="12"/>
      <c r="B468" s="12"/>
      <c r="C468" s="13" t="s">
        <v>883</v>
      </c>
      <c r="D468" s="14" t="s">
        <v>20</v>
      </c>
      <c r="E468" s="14" t="s">
        <v>624</v>
      </c>
      <c r="F468" s="13" t="s">
        <v>628</v>
      </c>
      <c r="G468" s="12" t="s">
        <v>23</v>
      </c>
      <c r="H468" s="15"/>
      <c r="I468" s="15"/>
      <c r="J468" s="15">
        <f t="shared" si="11"/>
        <v>0</v>
      </c>
    </row>
    <row r="469" ht="28.8" spans="1:10">
      <c r="A469" s="12"/>
      <c r="B469" s="12"/>
      <c r="C469" s="13" t="s">
        <v>883</v>
      </c>
      <c r="D469" s="14" t="s">
        <v>11</v>
      </c>
      <c r="E469" s="14" t="s">
        <v>630</v>
      </c>
      <c r="F469" s="13" t="s">
        <v>631</v>
      </c>
      <c r="G469" s="12" t="s">
        <v>17</v>
      </c>
      <c r="H469" s="15"/>
      <c r="I469" s="15"/>
      <c r="J469" s="15">
        <f t="shared" si="11"/>
        <v>0</v>
      </c>
    </row>
    <row r="470" ht="28.8" spans="1:10">
      <c r="A470" s="12"/>
      <c r="B470" s="12"/>
      <c r="C470" s="13" t="s">
        <v>885</v>
      </c>
      <c r="D470" s="14" t="s">
        <v>20</v>
      </c>
      <c r="E470" s="14" t="s">
        <v>47</v>
      </c>
      <c r="F470" s="13" t="s">
        <v>48</v>
      </c>
      <c r="G470" s="12" t="s">
        <v>49</v>
      </c>
      <c r="H470" s="15"/>
      <c r="I470" s="15"/>
      <c r="J470" s="15">
        <f t="shared" si="11"/>
        <v>0</v>
      </c>
    </row>
    <row r="471" ht="28.8" spans="1:10">
      <c r="A471" s="12"/>
      <c r="B471" s="12"/>
      <c r="C471" s="13" t="s">
        <v>885</v>
      </c>
      <c r="D471" s="14" t="s">
        <v>20</v>
      </c>
      <c r="E471" s="14" t="s">
        <v>624</v>
      </c>
      <c r="F471" s="13" t="s">
        <v>625</v>
      </c>
      <c r="G471" s="12" t="s">
        <v>23</v>
      </c>
      <c r="H471" s="15"/>
      <c r="I471" s="15"/>
      <c r="J471" s="15">
        <f t="shared" si="11"/>
        <v>0</v>
      </c>
    </row>
    <row r="472" ht="28.8" spans="1:10">
      <c r="A472" s="12"/>
      <c r="B472" s="12"/>
      <c r="C472" s="13" t="s">
        <v>885</v>
      </c>
      <c r="D472" s="14" t="s">
        <v>20</v>
      </c>
      <c r="E472" s="14" t="s">
        <v>624</v>
      </c>
      <c r="F472" s="13" t="s">
        <v>626</v>
      </c>
      <c r="G472" s="12" t="s">
        <v>23</v>
      </c>
      <c r="H472" s="15"/>
      <c r="I472" s="15"/>
      <c r="J472" s="15">
        <f t="shared" si="11"/>
        <v>0</v>
      </c>
    </row>
    <row r="473" ht="28.8" spans="1:10">
      <c r="A473" s="12"/>
      <c r="B473" s="12"/>
      <c r="C473" s="13" t="s">
        <v>885</v>
      </c>
      <c r="D473" s="14" t="s">
        <v>20</v>
      </c>
      <c r="E473" s="14" t="s">
        <v>624</v>
      </c>
      <c r="F473" s="13" t="s">
        <v>627</v>
      </c>
      <c r="G473" s="12" t="s">
        <v>23</v>
      </c>
      <c r="H473" s="15"/>
      <c r="I473" s="15"/>
      <c r="J473" s="15">
        <f t="shared" si="11"/>
        <v>0</v>
      </c>
    </row>
    <row r="474" ht="28.8" spans="1:10">
      <c r="A474" s="12"/>
      <c r="B474" s="12"/>
      <c r="C474" s="13" t="s">
        <v>885</v>
      </c>
      <c r="D474" s="14" t="s">
        <v>20</v>
      </c>
      <c r="E474" s="14" t="s">
        <v>624</v>
      </c>
      <c r="F474" s="13" t="s">
        <v>628</v>
      </c>
      <c r="G474" s="12" t="s">
        <v>23</v>
      </c>
      <c r="H474" s="15"/>
      <c r="I474" s="15"/>
      <c r="J474" s="15">
        <f t="shared" si="11"/>
        <v>0</v>
      </c>
    </row>
    <row r="475" ht="28.8" spans="1:10">
      <c r="A475" s="12"/>
      <c r="B475" s="12"/>
      <c r="C475" s="13" t="s">
        <v>885</v>
      </c>
      <c r="D475" s="14" t="s">
        <v>11</v>
      </c>
      <c r="E475" s="14" t="s">
        <v>630</v>
      </c>
      <c r="F475" s="13" t="s">
        <v>631</v>
      </c>
      <c r="G475" s="12" t="s">
        <v>17</v>
      </c>
      <c r="H475" s="15"/>
      <c r="I475" s="15"/>
      <c r="J475" s="15">
        <f t="shared" si="11"/>
        <v>0</v>
      </c>
    </row>
    <row r="476" ht="28.8" spans="1:10">
      <c r="A476" s="12"/>
      <c r="B476" s="12"/>
      <c r="C476" s="13" t="s">
        <v>887</v>
      </c>
      <c r="D476" s="14" t="s">
        <v>20</v>
      </c>
      <c r="E476" s="14" t="s">
        <v>47</v>
      </c>
      <c r="F476" s="13" t="s">
        <v>48</v>
      </c>
      <c r="G476" s="12" t="s">
        <v>49</v>
      </c>
      <c r="H476" s="15"/>
      <c r="I476" s="15"/>
      <c r="J476" s="15">
        <f t="shared" si="11"/>
        <v>0</v>
      </c>
    </row>
    <row r="477" ht="28.8" spans="1:10">
      <c r="A477" s="12"/>
      <c r="B477" s="12"/>
      <c r="C477" s="13" t="s">
        <v>887</v>
      </c>
      <c r="D477" s="14" t="s">
        <v>20</v>
      </c>
      <c r="E477" s="14" t="s">
        <v>624</v>
      </c>
      <c r="F477" s="13" t="s">
        <v>625</v>
      </c>
      <c r="G477" s="12" t="s">
        <v>23</v>
      </c>
      <c r="H477" s="15"/>
      <c r="I477" s="15"/>
      <c r="J477" s="15">
        <f t="shared" si="11"/>
        <v>0</v>
      </c>
    </row>
    <row r="478" ht="28.8" spans="1:10">
      <c r="A478" s="12"/>
      <c r="B478" s="12"/>
      <c r="C478" s="13" t="s">
        <v>887</v>
      </c>
      <c r="D478" s="14" t="s">
        <v>20</v>
      </c>
      <c r="E478" s="14" t="s">
        <v>624</v>
      </c>
      <c r="F478" s="13" t="s">
        <v>626</v>
      </c>
      <c r="G478" s="12" t="s">
        <v>23</v>
      </c>
      <c r="H478" s="15"/>
      <c r="I478" s="15"/>
      <c r="J478" s="15">
        <f t="shared" si="11"/>
        <v>0</v>
      </c>
    </row>
    <row r="479" ht="28.8" spans="1:10">
      <c r="A479" s="12"/>
      <c r="B479" s="12"/>
      <c r="C479" s="13" t="s">
        <v>887</v>
      </c>
      <c r="D479" s="14" t="s">
        <v>20</v>
      </c>
      <c r="E479" s="14" t="s">
        <v>624</v>
      </c>
      <c r="F479" s="13" t="s">
        <v>627</v>
      </c>
      <c r="G479" s="12" t="s">
        <v>23</v>
      </c>
      <c r="H479" s="15"/>
      <c r="I479" s="15"/>
      <c r="J479" s="15">
        <f t="shared" si="11"/>
        <v>0</v>
      </c>
    </row>
    <row r="480" ht="28.8" spans="1:10">
      <c r="A480" s="12"/>
      <c r="B480" s="12"/>
      <c r="C480" s="13" t="s">
        <v>887</v>
      </c>
      <c r="D480" s="14" t="s">
        <v>20</v>
      </c>
      <c r="E480" s="14" t="s">
        <v>624</v>
      </c>
      <c r="F480" s="13" t="s">
        <v>628</v>
      </c>
      <c r="G480" s="12" t="s">
        <v>23</v>
      </c>
      <c r="H480" s="15"/>
      <c r="I480" s="15"/>
      <c r="J480" s="15">
        <f t="shared" si="11"/>
        <v>0</v>
      </c>
    </row>
    <row r="481" ht="28.8" spans="1:10">
      <c r="A481" s="12"/>
      <c r="B481" s="12"/>
      <c r="C481" s="13" t="s">
        <v>887</v>
      </c>
      <c r="D481" s="14" t="s">
        <v>11</v>
      </c>
      <c r="E481" s="14" t="s">
        <v>630</v>
      </c>
      <c r="F481" s="13" t="s">
        <v>631</v>
      </c>
      <c r="G481" s="12" t="s">
        <v>17</v>
      </c>
      <c r="H481" s="15"/>
      <c r="I481" s="15"/>
      <c r="J481" s="15">
        <f t="shared" si="11"/>
        <v>0</v>
      </c>
    </row>
    <row r="482" ht="28.8" spans="1:10">
      <c r="A482" s="12"/>
      <c r="B482" s="12"/>
      <c r="C482" s="13" t="s">
        <v>889</v>
      </c>
      <c r="D482" s="14" t="s">
        <v>20</v>
      </c>
      <c r="E482" s="14" t="s">
        <v>47</v>
      </c>
      <c r="F482" s="13" t="s">
        <v>48</v>
      </c>
      <c r="G482" s="12" t="s">
        <v>49</v>
      </c>
      <c r="H482" s="15"/>
      <c r="I482" s="15"/>
      <c r="J482" s="15">
        <f t="shared" si="11"/>
        <v>0</v>
      </c>
    </row>
    <row r="483" ht="28.8" spans="1:10">
      <c r="A483" s="12"/>
      <c r="B483" s="12"/>
      <c r="C483" s="13" t="s">
        <v>889</v>
      </c>
      <c r="D483" s="14" t="s">
        <v>20</v>
      </c>
      <c r="E483" s="14" t="s">
        <v>624</v>
      </c>
      <c r="F483" s="13" t="s">
        <v>625</v>
      </c>
      <c r="G483" s="12" t="s">
        <v>23</v>
      </c>
      <c r="H483" s="15"/>
      <c r="I483" s="15"/>
      <c r="J483" s="15">
        <f t="shared" si="11"/>
        <v>0</v>
      </c>
    </row>
    <row r="484" ht="28.8" spans="1:10">
      <c r="A484" s="12"/>
      <c r="B484" s="12"/>
      <c r="C484" s="13" t="s">
        <v>889</v>
      </c>
      <c r="D484" s="14" t="s">
        <v>20</v>
      </c>
      <c r="E484" s="14" t="s">
        <v>624</v>
      </c>
      <c r="F484" s="13" t="s">
        <v>626</v>
      </c>
      <c r="G484" s="12" t="s">
        <v>23</v>
      </c>
      <c r="H484" s="15"/>
      <c r="I484" s="15"/>
      <c r="J484" s="15">
        <f t="shared" si="11"/>
        <v>0</v>
      </c>
    </row>
    <row r="485" ht="28.8" spans="1:10">
      <c r="A485" s="12"/>
      <c r="B485" s="12"/>
      <c r="C485" s="13" t="s">
        <v>889</v>
      </c>
      <c r="D485" s="14" t="s">
        <v>20</v>
      </c>
      <c r="E485" s="14" t="s">
        <v>624</v>
      </c>
      <c r="F485" s="13" t="s">
        <v>627</v>
      </c>
      <c r="G485" s="12" t="s">
        <v>23</v>
      </c>
      <c r="H485" s="15"/>
      <c r="I485" s="15"/>
      <c r="J485" s="15">
        <f t="shared" si="11"/>
        <v>0</v>
      </c>
    </row>
    <row r="486" ht="28.8" spans="1:10">
      <c r="A486" s="12"/>
      <c r="B486" s="12"/>
      <c r="C486" s="13" t="s">
        <v>889</v>
      </c>
      <c r="D486" s="14" t="s">
        <v>20</v>
      </c>
      <c r="E486" s="14" t="s">
        <v>624</v>
      </c>
      <c r="F486" s="13" t="s">
        <v>628</v>
      </c>
      <c r="G486" s="12" t="s">
        <v>23</v>
      </c>
      <c r="H486" s="15"/>
      <c r="I486" s="15"/>
      <c r="J486" s="15">
        <f t="shared" si="11"/>
        <v>0</v>
      </c>
    </row>
    <row r="487" ht="28.8" spans="1:10">
      <c r="A487" s="12"/>
      <c r="B487" s="12"/>
      <c r="C487" s="13" t="s">
        <v>889</v>
      </c>
      <c r="D487" s="14" t="s">
        <v>11</v>
      </c>
      <c r="E487" s="14" t="s">
        <v>630</v>
      </c>
      <c r="F487" s="13" t="s">
        <v>631</v>
      </c>
      <c r="G487" s="12" t="s">
        <v>17</v>
      </c>
      <c r="H487" s="15"/>
      <c r="I487" s="15"/>
      <c r="J487" s="15">
        <f t="shared" si="11"/>
        <v>0</v>
      </c>
    </row>
    <row r="488" ht="28.8" spans="1:10">
      <c r="A488" s="12"/>
      <c r="B488" s="12"/>
      <c r="C488" s="13" t="s">
        <v>891</v>
      </c>
      <c r="D488" s="14" t="s">
        <v>20</v>
      </c>
      <c r="E488" s="14" t="s">
        <v>47</v>
      </c>
      <c r="F488" s="13" t="s">
        <v>48</v>
      </c>
      <c r="G488" s="12" t="s">
        <v>49</v>
      </c>
      <c r="H488" s="15"/>
      <c r="I488" s="15"/>
      <c r="J488" s="15">
        <f t="shared" si="11"/>
        <v>0</v>
      </c>
    </row>
    <row r="489" ht="28.8" spans="1:10">
      <c r="A489" s="12"/>
      <c r="B489" s="12"/>
      <c r="C489" s="13" t="s">
        <v>891</v>
      </c>
      <c r="D489" s="14" t="s">
        <v>20</v>
      </c>
      <c r="E489" s="14" t="s">
        <v>624</v>
      </c>
      <c r="F489" s="13" t="s">
        <v>625</v>
      </c>
      <c r="G489" s="12" t="s">
        <v>23</v>
      </c>
      <c r="H489" s="15"/>
      <c r="I489" s="15"/>
      <c r="J489" s="15">
        <f t="shared" si="11"/>
        <v>0</v>
      </c>
    </row>
    <row r="490" ht="28.8" spans="1:10">
      <c r="A490" s="12"/>
      <c r="B490" s="12"/>
      <c r="C490" s="13" t="s">
        <v>891</v>
      </c>
      <c r="D490" s="14" t="s">
        <v>20</v>
      </c>
      <c r="E490" s="14" t="s">
        <v>624</v>
      </c>
      <c r="F490" s="13" t="s">
        <v>626</v>
      </c>
      <c r="G490" s="12" t="s">
        <v>23</v>
      </c>
      <c r="H490" s="15"/>
      <c r="I490" s="15"/>
      <c r="J490" s="15">
        <f t="shared" si="11"/>
        <v>0</v>
      </c>
    </row>
    <row r="491" ht="28.8" spans="1:10">
      <c r="A491" s="12"/>
      <c r="B491" s="12"/>
      <c r="C491" s="13" t="s">
        <v>891</v>
      </c>
      <c r="D491" s="14" t="s">
        <v>20</v>
      </c>
      <c r="E491" s="14" t="s">
        <v>624</v>
      </c>
      <c r="F491" s="13" t="s">
        <v>627</v>
      </c>
      <c r="G491" s="12" t="s">
        <v>23</v>
      </c>
      <c r="H491" s="15"/>
      <c r="I491" s="15"/>
      <c r="J491" s="15">
        <f t="shared" si="11"/>
        <v>0</v>
      </c>
    </row>
    <row r="492" ht="28.8" spans="1:10">
      <c r="A492" s="12"/>
      <c r="B492" s="12"/>
      <c r="C492" s="13" t="s">
        <v>891</v>
      </c>
      <c r="D492" s="14" t="s">
        <v>20</v>
      </c>
      <c r="E492" s="14" t="s">
        <v>624</v>
      </c>
      <c r="F492" s="13" t="s">
        <v>628</v>
      </c>
      <c r="G492" s="12" t="s">
        <v>23</v>
      </c>
      <c r="H492" s="15"/>
      <c r="I492" s="15"/>
      <c r="J492" s="15">
        <f t="shared" si="11"/>
        <v>0</v>
      </c>
    </row>
    <row r="493" ht="28.8" spans="1:10">
      <c r="A493" s="12"/>
      <c r="B493" s="12"/>
      <c r="C493" s="13" t="s">
        <v>891</v>
      </c>
      <c r="D493" s="14" t="s">
        <v>11</v>
      </c>
      <c r="E493" s="14" t="s">
        <v>630</v>
      </c>
      <c r="F493" s="13" t="s">
        <v>631</v>
      </c>
      <c r="G493" s="12" t="s">
        <v>17</v>
      </c>
      <c r="H493" s="15"/>
      <c r="I493" s="15"/>
      <c r="J493" s="15">
        <f t="shared" si="11"/>
        <v>0</v>
      </c>
    </row>
    <row r="494" ht="28.8" spans="1:10">
      <c r="A494" s="12"/>
      <c r="B494" s="12"/>
      <c r="C494" s="13" t="s">
        <v>893</v>
      </c>
      <c r="D494" s="14" t="s">
        <v>20</v>
      </c>
      <c r="E494" s="14" t="s">
        <v>47</v>
      </c>
      <c r="F494" s="13" t="s">
        <v>48</v>
      </c>
      <c r="G494" s="12" t="s">
        <v>49</v>
      </c>
      <c r="H494" s="15"/>
      <c r="I494" s="15"/>
      <c r="J494" s="15">
        <f t="shared" si="11"/>
        <v>0</v>
      </c>
    </row>
    <row r="495" ht="28.8" spans="1:10">
      <c r="A495" s="12"/>
      <c r="B495" s="12"/>
      <c r="C495" s="13" t="s">
        <v>893</v>
      </c>
      <c r="D495" s="14" t="s">
        <v>20</v>
      </c>
      <c r="E495" s="14" t="s">
        <v>624</v>
      </c>
      <c r="F495" s="13" t="s">
        <v>625</v>
      </c>
      <c r="G495" s="12" t="s">
        <v>23</v>
      </c>
      <c r="H495" s="15"/>
      <c r="I495" s="15"/>
      <c r="J495" s="15">
        <f t="shared" si="11"/>
        <v>0</v>
      </c>
    </row>
    <row r="496" ht="28.8" spans="1:10">
      <c r="A496" s="12"/>
      <c r="B496" s="12"/>
      <c r="C496" s="13" t="s">
        <v>893</v>
      </c>
      <c r="D496" s="14" t="s">
        <v>20</v>
      </c>
      <c r="E496" s="14" t="s">
        <v>624</v>
      </c>
      <c r="F496" s="13" t="s">
        <v>626</v>
      </c>
      <c r="G496" s="12" t="s">
        <v>23</v>
      </c>
      <c r="H496" s="15"/>
      <c r="I496" s="15"/>
      <c r="J496" s="15">
        <f t="shared" si="11"/>
        <v>0</v>
      </c>
    </row>
    <row r="497" ht="28.8" spans="1:10">
      <c r="A497" s="12"/>
      <c r="B497" s="12"/>
      <c r="C497" s="13" t="s">
        <v>893</v>
      </c>
      <c r="D497" s="14" t="s">
        <v>20</v>
      </c>
      <c r="E497" s="14" t="s">
        <v>624</v>
      </c>
      <c r="F497" s="13" t="s">
        <v>627</v>
      </c>
      <c r="G497" s="12" t="s">
        <v>23</v>
      </c>
      <c r="H497" s="15"/>
      <c r="I497" s="15"/>
      <c r="J497" s="15">
        <f t="shared" si="11"/>
        <v>0</v>
      </c>
    </row>
    <row r="498" ht="28.8" spans="1:10">
      <c r="A498" s="12"/>
      <c r="B498" s="12"/>
      <c r="C498" s="13" t="s">
        <v>893</v>
      </c>
      <c r="D498" s="14" t="s">
        <v>20</v>
      </c>
      <c r="E498" s="14" t="s">
        <v>624</v>
      </c>
      <c r="F498" s="13" t="s">
        <v>628</v>
      </c>
      <c r="G498" s="12" t="s">
        <v>23</v>
      </c>
      <c r="H498" s="15"/>
      <c r="I498" s="15"/>
      <c r="J498" s="15">
        <f t="shared" si="11"/>
        <v>0</v>
      </c>
    </row>
    <row r="499" ht="28.8" spans="1:10">
      <c r="A499" s="12"/>
      <c r="B499" s="12"/>
      <c r="C499" s="13" t="s">
        <v>893</v>
      </c>
      <c r="D499" s="14" t="s">
        <v>11</v>
      </c>
      <c r="E499" s="14" t="s">
        <v>630</v>
      </c>
      <c r="F499" s="13" t="s">
        <v>631</v>
      </c>
      <c r="G499" s="12" t="s">
        <v>17</v>
      </c>
      <c r="H499" s="15"/>
      <c r="I499" s="15"/>
      <c r="J499" s="15">
        <f t="shared" si="11"/>
        <v>0</v>
      </c>
    </row>
    <row r="500" ht="28.8" spans="1:10">
      <c r="A500" s="12"/>
      <c r="B500" s="12"/>
      <c r="C500" s="13" t="s">
        <v>895</v>
      </c>
      <c r="D500" s="14" t="s">
        <v>11</v>
      </c>
      <c r="E500" s="14" t="s">
        <v>634</v>
      </c>
      <c r="F500" s="13" t="s">
        <v>635</v>
      </c>
      <c r="G500" s="12" t="s">
        <v>23</v>
      </c>
      <c r="H500" s="15"/>
      <c r="I500" s="15"/>
      <c r="J500" s="15">
        <f t="shared" si="11"/>
        <v>0</v>
      </c>
    </row>
    <row r="501" ht="28.8" spans="1:10">
      <c r="A501" s="12"/>
      <c r="B501" s="12"/>
      <c r="C501" s="13" t="s">
        <v>895</v>
      </c>
      <c r="D501" s="14" t="s">
        <v>20</v>
      </c>
      <c r="E501" s="14" t="s">
        <v>636</v>
      </c>
      <c r="F501" s="13" t="s">
        <v>637</v>
      </c>
      <c r="G501" s="12" t="s">
        <v>23</v>
      </c>
      <c r="H501" s="15"/>
      <c r="I501" s="15"/>
      <c r="J501" s="15">
        <f t="shared" si="11"/>
        <v>0</v>
      </c>
    </row>
    <row r="502" ht="28.8" spans="1:10">
      <c r="A502" s="12"/>
      <c r="B502" s="12"/>
      <c r="C502" s="13" t="s">
        <v>897</v>
      </c>
      <c r="D502" s="14" t="s">
        <v>11</v>
      </c>
      <c r="E502" s="14" t="s">
        <v>634</v>
      </c>
      <c r="F502" s="13" t="s">
        <v>640</v>
      </c>
      <c r="G502" s="12" t="s">
        <v>23</v>
      </c>
      <c r="H502" s="15"/>
      <c r="I502" s="15"/>
      <c r="J502" s="15">
        <f t="shared" si="11"/>
        <v>0</v>
      </c>
    </row>
    <row r="503" ht="28.8" spans="1:10">
      <c r="A503" s="12"/>
      <c r="B503" s="12"/>
      <c r="C503" s="13" t="s">
        <v>897</v>
      </c>
      <c r="D503" s="14" t="s">
        <v>20</v>
      </c>
      <c r="E503" s="14" t="s">
        <v>636</v>
      </c>
      <c r="F503" s="13" t="s">
        <v>641</v>
      </c>
      <c r="G503" s="12" t="s">
        <v>23</v>
      </c>
      <c r="H503" s="15"/>
      <c r="I503" s="15"/>
      <c r="J503" s="15">
        <f t="shared" si="11"/>
        <v>0</v>
      </c>
    </row>
    <row r="504" ht="28.8" spans="1:10">
      <c r="A504" s="12"/>
      <c r="B504" s="12"/>
      <c r="C504" s="13" t="s">
        <v>899</v>
      </c>
      <c r="D504" s="14" t="s">
        <v>11</v>
      </c>
      <c r="E504" s="14" t="s">
        <v>634</v>
      </c>
      <c r="F504" s="13" t="s">
        <v>650</v>
      </c>
      <c r="G504" s="12" t="s">
        <v>23</v>
      </c>
      <c r="H504" s="15"/>
      <c r="I504" s="15"/>
      <c r="J504" s="15">
        <f t="shared" si="11"/>
        <v>0</v>
      </c>
    </row>
    <row r="505" ht="28.8" spans="1:10">
      <c r="A505" s="12"/>
      <c r="B505" s="12"/>
      <c r="C505" s="13" t="s">
        <v>899</v>
      </c>
      <c r="D505" s="14" t="s">
        <v>20</v>
      </c>
      <c r="E505" s="14" t="s">
        <v>636</v>
      </c>
      <c r="F505" s="13" t="s">
        <v>644</v>
      </c>
      <c r="G505" s="12" t="s">
        <v>23</v>
      </c>
      <c r="H505" s="15"/>
      <c r="I505" s="15"/>
      <c r="J505" s="15">
        <f t="shared" si="11"/>
        <v>0</v>
      </c>
    </row>
    <row r="506" ht="28.8" spans="1:10">
      <c r="A506" s="12"/>
      <c r="B506" s="12"/>
      <c r="C506" s="13" t="s">
        <v>901</v>
      </c>
      <c r="D506" s="14" t="s">
        <v>11</v>
      </c>
      <c r="E506" s="14" t="s">
        <v>634</v>
      </c>
      <c r="F506" s="13" t="s">
        <v>635</v>
      </c>
      <c r="G506" s="12" t="s">
        <v>23</v>
      </c>
      <c r="H506" s="15"/>
      <c r="I506" s="15"/>
      <c r="J506" s="15">
        <f t="shared" si="11"/>
        <v>0</v>
      </c>
    </row>
    <row r="507" ht="28.8" spans="1:10">
      <c r="A507" s="12"/>
      <c r="B507" s="12"/>
      <c r="C507" s="13" t="s">
        <v>901</v>
      </c>
      <c r="D507" s="14" t="s">
        <v>11</v>
      </c>
      <c r="E507" s="14" t="s">
        <v>634</v>
      </c>
      <c r="F507" s="13" t="s">
        <v>640</v>
      </c>
      <c r="G507" s="12" t="s">
        <v>23</v>
      </c>
      <c r="H507" s="15"/>
      <c r="I507" s="15"/>
      <c r="J507" s="15">
        <f t="shared" si="11"/>
        <v>0</v>
      </c>
    </row>
    <row r="508" ht="28.8" spans="1:10">
      <c r="A508" s="12"/>
      <c r="B508" s="12"/>
      <c r="C508" s="13" t="s">
        <v>901</v>
      </c>
      <c r="D508" s="14" t="s">
        <v>20</v>
      </c>
      <c r="E508" s="14" t="s">
        <v>636</v>
      </c>
      <c r="F508" s="13" t="s">
        <v>647</v>
      </c>
      <c r="G508" s="12" t="s">
        <v>23</v>
      </c>
      <c r="H508" s="15"/>
      <c r="I508" s="15"/>
      <c r="J508" s="15">
        <f t="shared" si="11"/>
        <v>0</v>
      </c>
    </row>
    <row r="509" ht="28.8" spans="1:10">
      <c r="A509" s="12"/>
      <c r="B509" s="12"/>
      <c r="C509" s="13" t="s">
        <v>903</v>
      </c>
      <c r="D509" s="14" t="s">
        <v>11</v>
      </c>
      <c r="E509" s="14" t="s">
        <v>634</v>
      </c>
      <c r="F509" s="13" t="s">
        <v>640</v>
      </c>
      <c r="G509" s="12" t="s">
        <v>23</v>
      </c>
      <c r="H509" s="15"/>
      <c r="I509" s="15"/>
      <c r="J509" s="15">
        <f t="shared" si="11"/>
        <v>0</v>
      </c>
    </row>
    <row r="510" ht="28.8" spans="1:10">
      <c r="A510" s="12"/>
      <c r="B510" s="12"/>
      <c r="C510" s="13" t="s">
        <v>903</v>
      </c>
      <c r="D510" s="14" t="s">
        <v>11</v>
      </c>
      <c r="E510" s="14" t="s">
        <v>634</v>
      </c>
      <c r="F510" s="13" t="s">
        <v>650</v>
      </c>
      <c r="G510" s="12" t="s">
        <v>23</v>
      </c>
      <c r="H510" s="15"/>
      <c r="I510" s="15"/>
      <c r="J510" s="15">
        <f t="shared" ref="J510:J573" si="12">+ROUND(PRODUCT(H510*I510),0)</f>
        <v>0</v>
      </c>
    </row>
    <row r="511" ht="28.8" spans="1:10">
      <c r="A511" s="12"/>
      <c r="B511" s="12"/>
      <c r="C511" s="13" t="s">
        <v>903</v>
      </c>
      <c r="D511" s="14" t="s">
        <v>20</v>
      </c>
      <c r="E511" s="14" t="s">
        <v>636</v>
      </c>
      <c r="F511" s="13" t="s">
        <v>651</v>
      </c>
      <c r="G511" s="12" t="s">
        <v>23</v>
      </c>
      <c r="H511" s="15"/>
      <c r="I511" s="15"/>
      <c r="J511" s="15">
        <f t="shared" si="12"/>
        <v>0</v>
      </c>
    </row>
    <row r="512" ht="28.8" spans="1:10">
      <c r="A512" s="12"/>
      <c r="B512" s="12"/>
      <c r="C512" s="13" t="s">
        <v>905</v>
      </c>
      <c r="D512" s="14" t="s">
        <v>11</v>
      </c>
      <c r="E512" s="14" t="s">
        <v>634</v>
      </c>
      <c r="F512" s="13" t="s">
        <v>635</v>
      </c>
      <c r="G512" s="12" t="s">
        <v>23</v>
      </c>
      <c r="H512" s="15"/>
      <c r="I512" s="15"/>
      <c r="J512" s="15">
        <f t="shared" si="12"/>
        <v>0</v>
      </c>
    </row>
    <row r="513" ht="28.8" spans="1:10">
      <c r="A513" s="12"/>
      <c r="B513" s="12"/>
      <c r="C513" s="13" t="s">
        <v>905</v>
      </c>
      <c r="D513" s="14" t="s">
        <v>11</v>
      </c>
      <c r="E513" s="14" t="s">
        <v>634</v>
      </c>
      <c r="F513" s="13" t="s">
        <v>650</v>
      </c>
      <c r="G513" s="12" t="s">
        <v>23</v>
      </c>
      <c r="H513" s="15"/>
      <c r="I513" s="15"/>
      <c r="J513" s="15">
        <f t="shared" si="12"/>
        <v>0</v>
      </c>
    </row>
    <row r="514" ht="28.8" spans="1:10">
      <c r="A514" s="12"/>
      <c r="B514" s="12"/>
      <c r="C514" s="13" t="s">
        <v>905</v>
      </c>
      <c r="D514" s="14" t="s">
        <v>20</v>
      </c>
      <c r="E514" s="14" t="s">
        <v>636</v>
      </c>
      <c r="F514" s="13" t="s">
        <v>654</v>
      </c>
      <c r="G514" s="12" t="s">
        <v>23</v>
      </c>
      <c r="H514" s="15"/>
      <c r="I514" s="15"/>
      <c r="J514" s="15">
        <f t="shared" si="12"/>
        <v>0</v>
      </c>
    </row>
    <row r="515" spans="1:10">
      <c r="A515" s="12"/>
      <c r="B515" s="12"/>
      <c r="C515" s="13" t="s">
        <v>907</v>
      </c>
      <c r="D515" s="14" t="s">
        <v>11</v>
      </c>
      <c r="E515" s="14" t="s">
        <v>665</v>
      </c>
      <c r="F515" s="13" t="s">
        <v>666</v>
      </c>
      <c r="G515" s="12" t="s">
        <v>34</v>
      </c>
      <c r="H515" s="15"/>
      <c r="I515" s="15"/>
      <c r="J515" s="15">
        <f t="shared" si="12"/>
        <v>0</v>
      </c>
    </row>
    <row r="516" spans="1:10">
      <c r="A516" s="12"/>
      <c r="B516" s="12"/>
      <c r="C516" s="13" t="s">
        <v>907</v>
      </c>
      <c r="D516" s="14" t="s">
        <v>11</v>
      </c>
      <c r="E516" s="14" t="s">
        <v>12</v>
      </c>
      <c r="F516" s="13" t="s">
        <v>13</v>
      </c>
      <c r="G516" s="12" t="s">
        <v>14</v>
      </c>
      <c r="H516" s="15"/>
      <c r="I516" s="15"/>
      <c r="J516" s="15">
        <f t="shared" si="12"/>
        <v>0</v>
      </c>
    </row>
    <row r="517" spans="1:10">
      <c r="A517" s="12"/>
      <c r="B517" s="12"/>
      <c r="C517" s="13" t="s">
        <v>907</v>
      </c>
      <c r="D517" s="14" t="s">
        <v>11</v>
      </c>
      <c r="E517" s="14" t="s">
        <v>12</v>
      </c>
      <c r="F517" s="13" t="s">
        <v>15</v>
      </c>
      <c r="G517" s="12" t="s">
        <v>14</v>
      </c>
      <c r="H517" s="15"/>
      <c r="I517" s="15"/>
      <c r="J517" s="15">
        <f t="shared" si="12"/>
        <v>0</v>
      </c>
    </row>
    <row r="518" spans="1:10">
      <c r="A518" s="12"/>
      <c r="B518" s="12"/>
      <c r="C518" s="13" t="s">
        <v>907</v>
      </c>
      <c r="D518" s="14" t="s">
        <v>11</v>
      </c>
      <c r="E518" s="14" t="s">
        <v>12</v>
      </c>
      <c r="F518" s="13" t="s">
        <v>28</v>
      </c>
      <c r="G518" s="12" t="s">
        <v>14</v>
      </c>
      <c r="H518" s="15"/>
      <c r="I518" s="15"/>
      <c r="J518" s="15">
        <f t="shared" si="12"/>
        <v>0</v>
      </c>
    </row>
    <row r="519" ht="28.8" spans="1:10">
      <c r="A519" s="12"/>
      <c r="B519" s="12"/>
      <c r="C519" s="13" t="s">
        <v>907</v>
      </c>
      <c r="D519" s="14" t="s">
        <v>20</v>
      </c>
      <c r="E519" s="14" t="s">
        <v>59</v>
      </c>
      <c r="F519" s="13" t="s">
        <v>667</v>
      </c>
      <c r="G519" s="12" t="s">
        <v>49</v>
      </c>
      <c r="H519" s="15"/>
      <c r="I519" s="15"/>
      <c r="J519" s="15">
        <f t="shared" si="12"/>
        <v>0</v>
      </c>
    </row>
    <row r="520" spans="1:10">
      <c r="A520" s="12"/>
      <c r="B520" s="12"/>
      <c r="C520" s="13" t="s">
        <v>907</v>
      </c>
      <c r="D520" s="14" t="s">
        <v>20</v>
      </c>
      <c r="E520" s="14" t="s">
        <v>59</v>
      </c>
      <c r="F520" s="13" t="s">
        <v>668</v>
      </c>
      <c r="G520" s="12" t="s">
        <v>49</v>
      </c>
      <c r="H520" s="15"/>
      <c r="I520" s="15"/>
      <c r="J520" s="15">
        <f t="shared" si="12"/>
        <v>0</v>
      </c>
    </row>
    <row r="521" spans="1:10">
      <c r="A521" s="12"/>
      <c r="B521" s="12"/>
      <c r="C521" s="13" t="s">
        <v>907</v>
      </c>
      <c r="D521" s="14" t="s">
        <v>20</v>
      </c>
      <c r="E521" s="14" t="s">
        <v>59</v>
      </c>
      <c r="F521" s="13" t="s">
        <v>60</v>
      </c>
      <c r="G521" s="12" t="s">
        <v>49</v>
      </c>
      <c r="H521" s="15"/>
      <c r="I521" s="15"/>
      <c r="J521" s="15">
        <f t="shared" si="12"/>
        <v>0</v>
      </c>
    </row>
    <row r="522" spans="1:10">
      <c r="A522" s="12"/>
      <c r="B522" s="12"/>
      <c r="C522" s="13" t="s">
        <v>907</v>
      </c>
      <c r="D522" s="14" t="s">
        <v>20</v>
      </c>
      <c r="E522" s="14" t="s">
        <v>106</v>
      </c>
      <c r="F522" s="13" t="s">
        <v>669</v>
      </c>
      <c r="G522" s="12" t="s">
        <v>108</v>
      </c>
      <c r="H522" s="15"/>
      <c r="I522" s="15"/>
      <c r="J522" s="15">
        <f t="shared" si="12"/>
        <v>0</v>
      </c>
    </row>
    <row r="523" spans="1:10">
      <c r="A523" s="12"/>
      <c r="B523" s="12"/>
      <c r="C523" s="13" t="s">
        <v>909</v>
      </c>
      <c r="D523" s="14" t="s">
        <v>11</v>
      </c>
      <c r="E523" s="14" t="s">
        <v>665</v>
      </c>
      <c r="F523" s="13" t="s">
        <v>666</v>
      </c>
      <c r="G523" s="12" t="s">
        <v>34</v>
      </c>
      <c r="H523" s="15"/>
      <c r="I523" s="15"/>
      <c r="J523" s="15">
        <f t="shared" si="12"/>
        <v>0</v>
      </c>
    </row>
    <row r="524" spans="1:10">
      <c r="A524" s="12"/>
      <c r="B524" s="12"/>
      <c r="C524" s="13" t="s">
        <v>909</v>
      </c>
      <c r="D524" s="14" t="s">
        <v>11</v>
      </c>
      <c r="E524" s="14" t="s">
        <v>12</v>
      </c>
      <c r="F524" s="13" t="s">
        <v>13</v>
      </c>
      <c r="G524" s="12" t="s">
        <v>14</v>
      </c>
      <c r="H524" s="15"/>
      <c r="I524" s="15"/>
      <c r="J524" s="15">
        <f t="shared" si="12"/>
        <v>0</v>
      </c>
    </row>
    <row r="525" spans="1:10">
      <c r="A525" s="12"/>
      <c r="B525" s="12"/>
      <c r="C525" s="13" t="s">
        <v>909</v>
      </c>
      <c r="D525" s="14" t="s">
        <v>11</v>
      </c>
      <c r="E525" s="14" t="s">
        <v>12</v>
      </c>
      <c r="F525" s="13" t="s">
        <v>15</v>
      </c>
      <c r="G525" s="12" t="s">
        <v>14</v>
      </c>
      <c r="H525" s="15"/>
      <c r="I525" s="15"/>
      <c r="J525" s="15">
        <f t="shared" si="12"/>
        <v>0</v>
      </c>
    </row>
    <row r="526" spans="1:10">
      <c r="A526" s="12"/>
      <c r="B526" s="12"/>
      <c r="C526" s="13" t="s">
        <v>909</v>
      </c>
      <c r="D526" s="14" t="s">
        <v>11</v>
      </c>
      <c r="E526" s="14" t="s">
        <v>12</v>
      </c>
      <c r="F526" s="13" t="s">
        <v>28</v>
      </c>
      <c r="G526" s="12" t="s">
        <v>14</v>
      </c>
      <c r="H526" s="15"/>
      <c r="I526" s="15"/>
      <c r="J526" s="15">
        <f t="shared" si="12"/>
        <v>0</v>
      </c>
    </row>
    <row r="527" ht="28.8" spans="1:10">
      <c r="A527" s="12"/>
      <c r="B527" s="12"/>
      <c r="C527" s="13" t="s">
        <v>909</v>
      </c>
      <c r="D527" s="14" t="s">
        <v>20</v>
      </c>
      <c r="E527" s="14" t="s">
        <v>59</v>
      </c>
      <c r="F527" s="13" t="s">
        <v>667</v>
      </c>
      <c r="G527" s="12" t="s">
        <v>49</v>
      </c>
      <c r="H527" s="15"/>
      <c r="I527" s="15"/>
      <c r="J527" s="15">
        <f t="shared" si="12"/>
        <v>0</v>
      </c>
    </row>
    <row r="528" spans="1:10">
      <c r="A528" s="12"/>
      <c r="B528" s="12"/>
      <c r="C528" s="13" t="s">
        <v>909</v>
      </c>
      <c r="D528" s="14" t="s">
        <v>20</v>
      </c>
      <c r="E528" s="14" t="s">
        <v>59</v>
      </c>
      <c r="F528" s="13" t="s">
        <v>668</v>
      </c>
      <c r="G528" s="12" t="s">
        <v>49</v>
      </c>
      <c r="H528" s="15"/>
      <c r="I528" s="15"/>
      <c r="J528" s="15">
        <f t="shared" si="12"/>
        <v>0</v>
      </c>
    </row>
    <row r="529" spans="1:10">
      <c r="A529" s="12"/>
      <c r="B529" s="12"/>
      <c r="C529" s="13" t="s">
        <v>909</v>
      </c>
      <c r="D529" s="14" t="s">
        <v>20</v>
      </c>
      <c r="E529" s="14" t="s">
        <v>59</v>
      </c>
      <c r="F529" s="13" t="s">
        <v>60</v>
      </c>
      <c r="G529" s="12" t="s">
        <v>49</v>
      </c>
      <c r="H529" s="15"/>
      <c r="I529" s="15"/>
      <c r="J529" s="15">
        <f t="shared" si="12"/>
        <v>0</v>
      </c>
    </row>
    <row r="530" spans="1:10">
      <c r="A530" s="12"/>
      <c r="B530" s="12"/>
      <c r="C530" s="13" t="s">
        <v>909</v>
      </c>
      <c r="D530" s="14" t="s">
        <v>20</v>
      </c>
      <c r="E530" s="14" t="s">
        <v>106</v>
      </c>
      <c r="F530" s="13" t="s">
        <v>672</v>
      </c>
      <c r="G530" s="12" t="s">
        <v>108</v>
      </c>
      <c r="H530" s="15"/>
      <c r="I530" s="15"/>
      <c r="J530" s="15">
        <f t="shared" si="12"/>
        <v>0</v>
      </c>
    </row>
    <row r="531" ht="28.8" spans="1:10">
      <c r="A531" s="12"/>
      <c r="B531" s="12"/>
      <c r="C531" s="13" t="s">
        <v>911</v>
      </c>
      <c r="D531" s="14" t="s">
        <v>11</v>
      </c>
      <c r="E531" s="14" t="s">
        <v>24</v>
      </c>
      <c r="F531" s="13" t="s">
        <v>604</v>
      </c>
      <c r="G531" s="12" t="s">
        <v>34</v>
      </c>
      <c r="H531" s="15"/>
      <c r="I531" s="15"/>
      <c r="J531" s="15">
        <f t="shared" si="12"/>
        <v>0</v>
      </c>
    </row>
    <row r="532" ht="28.8" spans="1:10">
      <c r="A532" s="12"/>
      <c r="B532" s="12"/>
      <c r="C532" s="13" t="s">
        <v>911</v>
      </c>
      <c r="D532" s="14" t="s">
        <v>11</v>
      </c>
      <c r="E532" s="14" t="s">
        <v>24</v>
      </c>
      <c r="F532" s="13" t="s">
        <v>605</v>
      </c>
      <c r="G532" s="12" t="s">
        <v>34</v>
      </c>
      <c r="H532" s="15"/>
      <c r="I532" s="15"/>
      <c r="J532" s="15">
        <f t="shared" si="12"/>
        <v>0</v>
      </c>
    </row>
    <row r="533" ht="28.8" spans="1:10">
      <c r="A533" s="12"/>
      <c r="B533" s="12"/>
      <c r="C533" s="13" t="s">
        <v>911</v>
      </c>
      <c r="D533" s="14" t="s">
        <v>11</v>
      </c>
      <c r="E533" s="14" t="s">
        <v>24</v>
      </c>
      <c r="F533" s="13" t="s">
        <v>606</v>
      </c>
      <c r="G533" s="12" t="s">
        <v>34</v>
      </c>
      <c r="H533" s="15"/>
      <c r="I533" s="15"/>
      <c r="J533" s="15">
        <f t="shared" si="12"/>
        <v>0</v>
      </c>
    </row>
    <row r="534" ht="28.8" spans="1:10">
      <c r="A534" s="12"/>
      <c r="B534" s="12"/>
      <c r="C534" s="13" t="s">
        <v>911</v>
      </c>
      <c r="D534" s="14" t="s">
        <v>20</v>
      </c>
      <c r="E534" s="14" t="s">
        <v>47</v>
      </c>
      <c r="F534" s="13" t="s">
        <v>50</v>
      </c>
      <c r="G534" s="12" t="s">
        <v>49</v>
      </c>
      <c r="H534" s="15"/>
      <c r="I534" s="15"/>
      <c r="J534" s="15">
        <f t="shared" si="12"/>
        <v>0</v>
      </c>
    </row>
    <row r="535" ht="28.8" spans="1:10">
      <c r="A535" s="12"/>
      <c r="B535" s="12"/>
      <c r="C535" s="13" t="s">
        <v>911</v>
      </c>
      <c r="D535" s="14" t="s">
        <v>20</v>
      </c>
      <c r="E535" s="14" t="s">
        <v>61</v>
      </c>
      <c r="F535" s="13" t="s">
        <v>78</v>
      </c>
      <c r="G535" s="12" t="s">
        <v>49</v>
      </c>
      <c r="H535" s="15"/>
      <c r="I535" s="15"/>
      <c r="J535" s="15">
        <f t="shared" si="12"/>
        <v>0</v>
      </c>
    </row>
    <row r="536" ht="28.8" spans="1:10">
      <c r="A536" s="12"/>
      <c r="B536" s="12"/>
      <c r="C536" s="13" t="s">
        <v>911</v>
      </c>
      <c r="D536" s="14" t="s">
        <v>20</v>
      </c>
      <c r="E536" s="14" t="s">
        <v>61</v>
      </c>
      <c r="F536" s="13" t="s">
        <v>607</v>
      </c>
      <c r="G536" s="12" t="s">
        <v>23</v>
      </c>
      <c r="H536" s="15"/>
      <c r="I536" s="15"/>
      <c r="J536" s="15">
        <f t="shared" si="12"/>
        <v>0</v>
      </c>
    </row>
    <row r="537" ht="28.8" spans="1:10">
      <c r="A537" s="12"/>
      <c r="B537" s="12"/>
      <c r="C537" s="13" t="s">
        <v>911</v>
      </c>
      <c r="D537" s="14" t="s">
        <v>20</v>
      </c>
      <c r="E537" s="14" t="s">
        <v>84</v>
      </c>
      <c r="F537" s="13" t="s">
        <v>86</v>
      </c>
      <c r="G537" s="12" t="s">
        <v>49</v>
      </c>
      <c r="H537" s="15"/>
      <c r="I537" s="15"/>
      <c r="J537" s="15">
        <f t="shared" si="12"/>
        <v>0</v>
      </c>
    </row>
    <row r="538" ht="28.8" spans="1:10">
      <c r="A538" s="12"/>
      <c r="B538" s="12"/>
      <c r="C538" s="13" t="s">
        <v>911</v>
      </c>
      <c r="D538" s="14" t="s">
        <v>20</v>
      </c>
      <c r="E538" s="14" t="s">
        <v>84</v>
      </c>
      <c r="F538" s="13" t="s">
        <v>88</v>
      </c>
      <c r="G538" s="12" t="s">
        <v>49</v>
      </c>
      <c r="H538" s="15"/>
      <c r="I538" s="15"/>
      <c r="J538" s="15">
        <f t="shared" si="12"/>
        <v>0</v>
      </c>
    </row>
    <row r="539" ht="28.8" spans="1:10">
      <c r="A539" s="12"/>
      <c r="B539" s="12"/>
      <c r="C539" s="13" t="s">
        <v>911</v>
      </c>
      <c r="D539" s="14" t="s">
        <v>20</v>
      </c>
      <c r="E539" s="14" t="s">
        <v>84</v>
      </c>
      <c r="F539" s="13" t="s">
        <v>89</v>
      </c>
      <c r="G539" s="12" t="s">
        <v>49</v>
      </c>
      <c r="H539" s="15"/>
      <c r="I539" s="15"/>
      <c r="J539" s="15">
        <f t="shared" si="12"/>
        <v>0</v>
      </c>
    </row>
    <row r="540" ht="28.8" spans="1:10">
      <c r="A540" s="12"/>
      <c r="B540" s="12"/>
      <c r="C540" s="13" t="s">
        <v>911</v>
      </c>
      <c r="D540" s="14" t="s">
        <v>20</v>
      </c>
      <c r="E540" s="14" t="s">
        <v>84</v>
      </c>
      <c r="F540" s="13" t="s">
        <v>608</v>
      </c>
      <c r="G540" s="12" t="s">
        <v>100</v>
      </c>
      <c r="H540" s="15"/>
      <c r="I540" s="15"/>
      <c r="J540" s="15">
        <f t="shared" si="12"/>
        <v>0</v>
      </c>
    </row>
    <row r="541" ht="28.8" spans="1:10">
      <c r="A541" s="12"/>
      <c r="B541" s="12"/>
      <c r="C541" s="13" t="s">
        <v>911</v>
      </c>
      <c r="D541" s="14" t="s">
        <v>20</v>
      </c>
      <c r="E541" s="14" t="s">
        <v>84</v>
      </c>
      <c r="F541" s="13" t="s">
        <v>609</v>
      </c>
      <c r="G541" s="12" t="s">
        <v>63</v>
      </c>
      <c r="H541" s="15"/>
      <c r="I541" s="15"/>
      <c r="J541" s="15">
        <f t="shared" si="12"/>
        <v>0</v>
      </c>
    </row>
    <row r="542" ht="28.8" spans="1:10">
      <c r="A542" s="12"/>
      <c r="B542" s="12"/>
      <c r="C542" s="13" t="s">
        <v>911</v>
      </c>
      <c r="D542" s="14" t="s">
        <v>20</v>
      </c>
      <c r="E542" s="14" t="s">
        <v>84</v>
      </c>
      <c r="F542" s="13" t="s">
        <v>610</v>
      </c>
      <c r="G542" s="12" t="s">
        <v>611</v>
      </c>
      <c r="H542" s="15"/>
      <c r="I542" s="15"/>
      <c r="J542" s="15">
        <f t="shared" si="12"/>
        <v>0</v>
      </c>
    </row>
    <row r="543" ht="28.8" spans="1:10">
      <c r="A543" s="12"/>
      <c r="B543" s="12"/>
      <c r="C543" s="13" t="s">
        <v>911</v>
      </c>
      <c r="D543" s="14" t="s">
        <v>20</v>
      </c>
      <c r="E543" s="14" t="s">
        <v>84</v>
      </c>
      <c r="F543" s="13" t="s">
        <v>612</v>
      </c>
      <c r="G543" s="12" t="s">
        <v>611</v>
      </c>
      <c r="H543" s="15"/>
      <c r="I543" s="15"/>
      <c r="J543" s="15">
        <f t="shared" si="12"/>
        <v>0</v>
      </c>
    </row>
    <row r="544" ht="28.8" spans="1:10">
      <c r="A544" s="12"/>
      <c r="B544" s="12"/>
      <c r="C544" s="13" t="s">
        <v>913</v>
      </c>
      <c r="D544" s="14" t="s">
        <v>20</v>
      </c>
      <c r="E544" s="14" t="s">
        <v>47</v>
      </c>
      <c r="F544" s="13" t="s">
        <v>48</v>
      </c>
      <c r="G544" s="12" t="s">
        <v>49</v>
      </c>
      <c r="H544" s="15"/>
      <c r="I544" s="15"/>
      <c r="J544" s="15">
        <f t="shared" si="12"/>
        <v>0</v>
      </c>
    </row>
    <row r="545" ht="28.8" spans="1:10">
      <c r="A545" s="12"/>
      <c r="B545" s="12"/>
      <c r="C545" s="13" t="s">
        <v>913</v>
      </c>
      <c r="D545" s="14" t="s">
        <v>20</v>
      </c>
      <c r="E545" s="14" t="s">
        <v>624</v>
      </c>
      <c r="F545" s="13" t="s">
        <v>625</v>
      </c>
      <c r="G545" s="12" t="s">
        <v>23</v>
      </c>
      <c r="H545" s="15"/>
      <c r="I545" s="15"/>
      <c r="J545" s="15">
        <f t="shared" si="12"/>
        <v>0</v>
      </c>
    </row>
    <row r="546" ht="28.8" spans="1:10">
      <c r="A546" s="12"/>
      <c r="B546" s="12"/>
      <c r="C546" s="13" t="s">
        <v>913</v>
      </c>
      <c r="D546" s="14" t="s">
        <v>20</v>
      </c>
      <c r="E546" s="14" t="s">
        <v>624</v>
      </c>
      <c r="F546" s="13" t="s">
        <v>626</v>
      </c>
      <c r="G546" s="12" t="s">
        <v>23</v>
      </c>
      <c r="H546" s="15"/>
      <c r="I546" s="15"/>
      <c r="J546" s="15">
        <f t="shared" si="12"/>
        <v>0</v>
      </c>
    </row>
    <row r="547" ht="28.8" spans="1:10">
      <c r="A547" s="12"/>
      <c r="B547" s="12"/>
      <c r="C547" s="13" t="s">
        <v>913</v>
      </c>
      <c r="D547" s="14" t="s">
        <v>20</v>
      </c>
      <c r="E547" s="14" t="s">
        <v>624</v>
      </c>
      <c r="F547" s="13" t="s">
        <v>627</v>
      </c>
      <c r="G547" s="12" t="s">
        <v>23</v>
      </c>
      <c r="H547" s="15"/>
      <c r="I547" s="15"/>
      <c r="J547" s="15">
        <f t="shared" si="12"/>
        <v>0</v>
      </c>
    </row>
    <row r="548" ht="28.8" spans="1:10">
      <c r="A548" s="12"/>
      <c r="B548" s="12"/>
      <c r="C548" s="13" t="s">
        <v>913</v>
      </c>
      <c r="D548" s="14" t="s">
        <v>20</v>
      </c>
      <c r="E548" s="14" t="s">
        <v>624</v>
      </c>
      <c r="F548" s="13" t="s">
        <v>628</v>
      </c>
      <c r="G548" s="12" t="s">
        <v>23</v>
      </c>
      <c r="H548" s="15"/>
      <c r="I548" s="15"/>
      <c r="J548" s="15">
        <f t="shared" si="12"/>
        <v>0</v>
      </c>
    </row>
    <row r="549" ht="28.8" spans="1:10">
      <c r="A549" s="12"/>
      <c r="B549" s="12"/>
      <c r="C549" s="13" t="s">
        <v>913</v>
      </c>
      <c r="D549" s="14" t="s">
        <v>20</v>
      </c>
      <c r="E549" s="14" t="s">
        <v>624</v>
      </c>
      <c r="F549" s="13" t="s">
        <v>629</v>
      </c>
      <c r="G549" s="12" t="s">
        <v>23</v>
      </c>
      <c r="H549" s="15"/>
      <c r="I549" s="15"/>
      <c r="J549" s="15">
        <f t="shared" si="12"/>
        <v>0</v>
      </c>
    </row>
    <row r="550" ht="28.8" spans="1:10">
      <c r="A550" s="12"/>
      <c r="B550" s="12"/>
      <c r="C550" s="13" t="s">
        <v>913</v>
      </c>
      <c r="D550" s="14" t="s">
        <v>11</v>
      </c>
      <c r="E550" s="14" t="s">
        <v>630</v>
      </c>
      <c r="F550" s="13" t="s">
        <v>631</v>
      </c>
      <c r="G550" s="12" t="s">
        <v>17</v>
      </c>
      <c r="H550" s="15"/>
      <c r="I550" s="15"/>
      <c r="J550" s="15">
        <f t="shared" si="12"/>
        <v>0</v>
      </c>
    </row>
    <row r="551" ht="28.8" spans="1:10">
      <c r="A551" s="12"/>
      <c r="B551" s="12"/>
      <c r="C551" s="13" t="s">
        <v>915</v>
      </c>
      <c r="D551" s="14" t="s">
        <v>11</v>
      </c>
      <c r="E551" s="14" t="s">
        <v>618</v>
      </c>
      <c r="F551" s="13" t="s">
        <v>619</v>
      </c>
      <c r="G551" s="12" t="s">
        <v>23</v>
      </c>
      <c r="H551" s="15"/>
      <c r="I551" s="15"/>
      <c r="J551" s="15">
        <f t="shared" si="12"/>
        <v>0</v>
      </c>
    </row>
    <row r="552" ht="28.8" spans="1:10">
      <c r="A552" s="12"/>
      <c r="B552" s="12"/>
      <c r="C552" s="13" t="s">
        <v>915</v>
      </c>
      <c r="D552" s="14" t="s">
        <v>11</v>
      </c>
      <c r="E552" s="14" t="s">
        <v>618</v>
      </c>
      <c r="F552" s="13" t="s">
        <v>620</v>
      </c>
      <c r="G552" s="12" t="s">
        <v>23</v>
      </c>
      <c r="H552" s="15"/>
      <c r="I552" s="15"/>
      <c r="J552" s="15">
        <f t="shared" si="12"/>
        <v>0</v>
      </c>
    </row>
    <row r="553" ht="28.8" spans="1:10">
      <c r="A553" s="12"/>
      <c r="B553" s="12"/>
      <c r="C553" s="13" t="s">
        <v>915</v>
      </c>
      <c r="D553" s="14" t="s">
        <v>11</v>
      </c>
      <c r="E553" s="14" t="s">
        <v>618</v>
      </c>
      <c r="F553" s="13" t="s">
        <v>621</v>
      </c>
      <c r="G553" s="12" t="s">
        <v>23</v>
      </c>
      <c r="H553" s="15"/>
      <c r="I553" s="15"/>
      <c r="J553" s="15">
        <f t="shared" si="12"/>
        <v>0</v>
      </c>
    </row>
    <row r="554" ht="28.8" spans="1:10">
      <c r="A554" s="12"/>
      <c r="B554" s="12"/>
      <c r="C554" s="13" t="s">
        <v>917</v>
      </c>
      <c r="D554" s="14" t="s">
        <v>11</v>
      </c>
      <c r="E554" s="14" t="s">
        <v>12</v>
      </c>
      <c r="F554" s="13" t="s">
        <v>13</v>
      </c>
      <c r="G554" s="12" t="s">
        <v>14</v>
      </c>
      <c r="H554" s="15"/>
      <c r="I554" s="15"/>
      <c r="J554" s="15">
        <f t="shared" si="12"/>
        <v>0</v>
      </c>
    </row>
    <row r="555" ht="28.8" spans="1:10">
      <c r="A555" s="12"/>
      <c r="B555" s="12"/>
      <c r="C555" s="13" t="s">
        <v>917</v>
      </c>
      <c r="D555" s="14" t="s">
        <v>20</v>
      </c>
      <c r="E555" s="14" t="s">
        <v>576</v>
      </c>
      <c r="F555" s="13" t="s">
        <v>918</v>
      </c>
      <c r="G555" s="12" t="s">
        <v>100</v>
      </c>
      <c r="H555" s="15"/>
      <c r="I555" s="15"/>
      <c r="J555" s="15">
        <f t="shared" si="12"/>
        <v>0</v>
      </c>
    </row>
    <row r="556" ht="28.8" spans="1:10">
      <c r="A556" s="12"/>
      <c r="B556" s="12"/>
      <c r="C556" s="13" t="s">
        <v>917</v>
      </c>
      <c r="D556" s="14" t="s">
        <v>20</v>
      </c>
      <c r="E556" s="14" t="s">
        <v>104</v>
      </c>
      <c r="F556" s="13" t="s">
        <v>919</v>
      </c>
      <c r="G556" s="12" t="s">
        <v>49</v>
      </c>
      <c r="H556" s="15"/>
      <c r="I556" s="15"/>
      <c r="J556" s="15">
        <f t="shared" si="12"/>
        <v>0</v>
      </c>
    </row>
    <row r="557" ht="28.8" spans="1:10">
      <c r="A557" s="12"/>
      <c r="B557" s="12"/>
      <c r="C557" s="13" t="s">
        <v>917</v>
      </c>
      <c r="D557" s="14" t="s">
        <v>20</v>
      </c>
      <c r="E557" s="14" t="s">
        <v>112</v>
      </c>
      <c r="F557" s="13" t="s">
        <v>113</v>
      </c>
      <c r="G557" s="12" t="s">
        <v>46</v>
      </c>
      <c r="H557" s="15"/>
      <c r="I557" s="15"/>
      <c r="J557" s="15">
        <f t="shared" si="12"/>
        <v>0</v>
      </c>
    </row>
    <row r="558" spans="1:10">
      <c r="A558" s="12"/>
      <c r="B558" s="12"/>
      <c r="C558" s="13" t="s">
        <v>921</v>
      </c>
      <c r="D558" s="14" t="s">
        <v>20</v>
      </c>
      <c r="E558" s="14" t="s">
        <v>102</v>
      </c>
      <c r="F558" s="13" t="s">
        <v>103</v>
      </c>
      <c r="G558" s="12" t="s">
        <v>46</v>
      </c>
      <c r="H558" s="15"/>
      <c r="I558" s="15"/>
      <c r="J558" s="15">
        <f t="shared" si="12"/>
        <v>0</v>
      </c>
    </row>
    <row r="559" spans="1:10">
      <c r="A559" s="12"/>
      <c r="B559" s="12"/>
      <c r="C559" s="13" t="s">
        <v>921</v>
      </c>
      <c r="D559" s="14" t="s">
        <v>20</v>
      </c>
      <c r="E559" s="14" t="s">
        <v>596</v>
      </c>
      <c r="F559" s="13" t="s">
        <v>597</v>
      </c>
      <c r="G559" s="12" t="s">
        <v>46</v>
      </c>
      <c r="H559" s="15"/>
      <c r="I559" s="15"/>
      <c r="J559" s="15">
        <f t="shared" si="12"/>
        <v>0</v>
      </c>
    </row>
    <row r="560" spans="1:10">
      <c r="A560" s="12"/>
      <c r="B560" s="12"/>
      <c r="C560" s="13" t="s">
        <v>921</v>
      </c>
      <c r="D560" s="14" t="s">
        <v>11</v>
      </c>
      <c r="E560" s="14" t="s">
        <v>598</v>
      </c>
      <c r="F560" s="13" t="s">
        <v>599</v>
      </c>
      <c r="G560" s="12" t="s">
        <v>34</v>
      </c>
      <c r="H560" s="15"/>
      <c r="I560" s="15"/>
      <c r="J560" s="15">
        <f t="shared" si="12"/>
        <v>0</v>
      </c>
    </row>
    <row r="561" spans="1:10">
      <c r="A561" s="12"/>
      <c r="B561" s="12"/>
      <c r="C561" s="13" t="s">
        <v>921</v>
      </c>
      <c r="D561" s="14" t="s">
        <v>20</v>
      </c>
      <c r="E561" s="14" t="s">
        <v>600</v>
      </c>
      <c r="F561" s="13" t="s">
        <v>601</v>
      </c>
      <c r="G561" s="12" t="s">
        <v>63</v>
      </c>
      <c r="H561" s="15"/>
      <c r="I561" s="15"/>
      <c r="J561" s="15">
        <f t="shared" si="12"/>
        <v>0</v>
      </c>
    </row>
    <row r="562" ht="28.8" spans="1:10">
      <c r="A562" s="12"/>
      <c r="B562" s="12"/>
      <c r="C562" s="13" t="s">
        <v>923</v>
      </c>
      <c r="D562" s="14" t="s">
        <v>11</v>
      </c>
      <c r="E562" s="14" t="s">
        <v>24</v>
      </c>
      <c r="F562" s="13" t="s">
        <v>604</v>
      </c>
      <c r="G562" s="12" t="s">
        <v>34</v>
      </c>
      <c r="H562" s="15"/>
      <c r="I562" s="15"/>
      <c r="J562" s="15">
        <f t="shared" si="12"/>
        <v>0</v>
      </c>
    </row>
    <row r="563" ht="28.8" spans="1:10">
      <c r="A563" s="12"/>
      <c r="B563" s="12"/>
      <c r="C563" s="13" t="s">
        <v>923</v>
      </c>
      <c r="D563" s="14" t="s">
        <v>11</v>
      </c>
      <c r="E563" s="14" t="s">
        <v>24</v>
      </c>
      <c r="F563" s="13" t="s">
        <v>605</v>
      </c>
      <c r="G563" s="12" t="s">
        <v>34</v>
      </c>
      <c r="H563" s="15"/>
      <c r="I563" s="15"/>
      <c r="J563" s="15">
        <f t="shared" si="12"/>
        <v>0</v>
      </c>
    </row>
    <row r="564" ht="28.8" spans="1:10">
      <c r="A564" s="12"/>
      <c r="B564" s="12"/>
      <c r="C564" s="13" t="s">
        <v>923</v>
      </c>
      <c r="D564" s="14" t="s">
        <v>11</v>
      </c>
      <c r="E564" s="14" t="s">
        <v>24</v>
      </c>
      <c r="F564" s="13" t="s">
        <v>606</v>
      </c>
      <c r="G564" s="12" t="s">
        <v>34</v>
      </c>
      <c r="H564" s="15"/>
      <c r="I564" s="15"/>
      <c r="J564" s="15">
        <f t="shared" si="12"/>
        <v>0</v>
      </c>
    </row>
    <row r="565" ht="28.8" spans="1:10">
      <c r="A565" s="12"/>
      <c r="B565" s="12"/>
      <c r="C565" s="13" t="s">
        <v>923</v>
      </c>
      <c r="D565" s="14" t="s">
        <v>20</v>
      </c>
      <c r="E565" s="14" t="s">
        <v>47</v>
      </c>
      <c r="F565" s="13" t="s">
        <v>50</v>
      </c>
      <c r="G565" s="12" t="s">
        <v>49</v>
      </c>
      <c r="H565" s="15"/>
      <c r="I565" s="15"/>
      <c r="J565" s="15">
        <f t="shared" si="12"/>
        <v>0</v>
      </c>
    </row>
    <row r="566" ht="28.8" spans="1:10">
      <c r="A566" s="12"/>
      <c r="B566" s="12"/>
      <c r="C566" s="13" t="s">
        <v>923</v>
      </c>
      <c r="D566" s="14" t="s">
        <v>20</v>
      </c>
      <c r="E566" s="14" t="s">
        <v>61</v>
      </c>
      <c r="F566" s="13" t="s">
        <v>78</v>
      </c>
      <c r="G566" s="12" t="s">
        <v>49</v>
      </c>
      <c r="H566" s="15"/>
      <c r="I566" s="15"/>
      <c r="J566" s="15">
        <f t="shared" si="12"/>
        <v>0</v>
      </c>
    </row>
    <row r="567" ht="28.8" spans="1:10">
      <c r="A567" s="12"/>
      <c r="B567" s="12"/>
      <c r="C567" s="13" t="s">
        <v>923</v>
      </c>
      <c r="D567" s="14" t="s">
        <v>20</v>
      </c>
      <c r="E567" s="14" t="s">
        <v>61</v>
      </c>
      <c r="F567" s="13" t="s">
        <v>607</v>
      </c>
      <c r="G567" s="12" t="s">
        <v>23</v>
      </c>
      <c r="H567" s="15"/>
      <c r="I567" s="15"/>
      <c r="J567" s="15">
        <f t="shared" si="12"/>
        <v>0</v>
      </c>
    </row>
    <row r="568" ht="28.8" spans="1:10">
      <c r="A568" s="12"/>
      <c r="B568" s="12"/>
      <c r="C568" s="13" t="s">
        <v>923</v>
      </c>
      <c r="D568" s="14" t="s">
        <v>20</v>
      </c>
      <c r="E568" s="14" t="s">
        <v>84</v>
      </c>
      <c r="F568" s="13" t="s">
        <v>86</v>
      </c>
      <c r="G568" s="12" t="s">
        <v>49</v>
      </c>
      <c r="H568" s="15"/>
      <c r="I568" s="15"/>
      <c r="J568" s="15">
        <f t="shared" si="12"/>
        <v>0</v>
      </c>
    </row>
    <row r="569" ht="28.8" spans="1:10">
      <c r="A569" s="12"/>
      <c r="B569" s="12"/>
      <c r="C569" s="13" t="s">
        <v>923</v>
      </c>
      <c r="D569" s="14" t="s">
        <v>20</v>
      </c>
      <c r="E569" s="14" t="s">
        <v>84</v>
      </c>
      <c r="F569" s="13" t="s">
        <v>88</v>
      </c>
      <c r="G569" s="12" t="s">
        <v>49</v>
      </c>
      <c r="H569" s="15"/>
      <c r="I569" s="15"/>
      <c r="J569" s="15">
        <f t="shared" si="12"/>
        <v>0</v>
      </c>
    </row>
    <row r="570" ht="28.8" spans="1:10">
      <c r="A570" s="12"/>
      <c r="B570" s="12"/>
      <c r="C570" s="13" t="s">
        <v>923</v>
      </c>
      <c r="D570" s="14" t="s">
        <v>20</v>
      </c>
      <c r="E570" s="14" t="s">
        <v>84</v>
      </c>
      <c r="F570" s="13" t="s">
        <v>89</v>
      </c>
      <c r="G570" s="12" t="s">
        <v>49</v>
      </c>
      <c r="H570" s="15"/>
      <c r="I570" s="15"/>
      <c r="J570" s="15">
        <f t="shared" si="12"/>
        <v>0</v>
      </c>
    </row>
    <row r="571" ht="28.8" spans="1:10">
      <c r="A571" s="12"/>
      <c r="B571" s="12"/>
      <c r="C571" s="13" t="s">
        <v>923</v>
      </c>
      <c r="D571" s="14" t="s">
        <v>20</v>
      </c>
      <c r="E571" s="14" t="s">
        <v>84</v>
      </c>
      <c r="F571" s="13" t="s">
        <v>608</v>
      </c>
      <c r="G571" s="12" t="s">
        <v>100</v>
      </c>
      <c r="H571" s="15"/>
      <c r="I571" s="15"/>
      <c r="J571" s="15">
        <f t="shared" si="12"/>
        <v>0</v>
      </c>
    </row>
    <row r="572" ht="28.8" spans="1:10">
      <c r="A572" s="12"/>
      <c r="B572" s="12"/>
      <c r="C572" s="13" t="s">
        <v>923</v>
      </c>
      <c r="D572" s="14" t="s">
        <v>20</v>
      </c>
      <c r="E572" s="14" t="s">
        <v>84</v>
      </c>
      <c r="F572" s="13" t="s">
        <v>609</v>
      </c>
      <c r="G572" s="12" t="s">
        <v>63</v>
      </c>
      <c r="H572" s="15"/>
      <c r="I572" s="15"/>
      <c r="J572" s="15">
        <f t="shared" si="12"/>
        <v>0</v>
      </c>
    </row>
    <row r="573" ht="28.8" spans="1:10">
      <c r="A573" s="12"/>
      <c r="B573" s="12"/>
      <c r="C573" s="13" t="s">
        <v>923</v>
      </c>
      <c r="D573" s="14" t="s">
        <v>20</v>
      </c>
      <c r="E573" s="14" t="s">
        <v>84</v>
      </c>
      <c r="F573" s="13" t="s">
        <v>683</v>
      </c>
      <c r="G573" s="12" t="s">
        <v>611</v>
      </c>
      <c r="H573" s="15"/>
      <c r="I573" s="15"/>
      <c r="J573" s="15">
        <f t="shared" si="12"/>
        <v>0</v>
      </c>
    </row>
    <row r="574" ht="28.8" spans="1:10">
      <c r="A574" s="12"/>
      <c r="B574" s="12"/>
      <c r="C574" s="13" t="s">
        <v>923</v>
      </c>
      <c r="D574" s="14" t="s">
        <v>20</v>
      </c>
      <c r="E574" s="14" t="s">
        <v>84</v>
      </c>
      <c r="F574" s="13" t="s">
        <v>610</v>
      </c>
      <c r="G574" s="12" t="s">
        <v>611</v>
      </c>
      <c r="H574" s="15"/>
      <c r="I574" s="15"/>
      <c r="J574" s="15">
        <f t="shared" ref="J574:J637" si="13">+ROUND(PRODUCT(H574*I574),0)</f>
        <v>0</v>
      </c>
    </row>
    <row r="575" ht="28.8" spans="1:10">
      <c r="A575" s="12"/>
      <c r="B575" s="12"/>
      <c r="C575" s="13" t="s">
        <v>923</v>
      </c>
      <c r="D575" s="14" t="s">
        <v>20</v>
      </c>
      <c r="E575" s="14" t="s">
        <v>84</v>
      </c>
      <c r="F575" s="13" t="s">
        <v>612</v>
      </c>
      <c r="G575" s="12" t="s">
        <v>611</v>
      </c>
      <c r="H575" s="15"/>
      <c r="I575" s="15"/>
      <c r="J575" s="15">
        <f t="shared" si="13"/>
        <v>0</v>
      </c>
    </row>
    <row r="576" ht="28.8" spans="1:10">
      <c r="A576" s="12"/>
      <c r="B576" s="12"/>
      <c r="C576" s="13" t="s">
        <v>923</v>
      </c>
      <c r="D576" s="14" t="s">
        <v>20</v>
      </c>
      <c r="E576" s="14" t="s">
        <v>84</v>
      </c>
      <c r="F576" s="13" t="s">
        <v>684</v>
      </c>
      <c r="G576" s="12" t="s">
        <v>23</v>
      </c>
      <c r="H576" s="15"/>
      <c r="I576" s="15"/>
      <c r="J576" s="15">
        <f t="shared" si="13"/>
        <v>0</v>
      </c>
    </row>
    <row r="577" ht="28.8" spans="1:10">
      <c r="A577" s="12"/>
      <c r="B577" s="12"/>
      <c r="C577" s="13" t="s">
        <v>923</v>
      </c>
      <c r="D577" s="14" t="s">
        <v>11</v>
      </c>
      <c r="E577" s="14" t="s">
        <v>613</v>
      </c>
      <c r="F577" s="13" t="s">
        <v>614</v>
      </c>
      <c r="G577" s="12" t="s">
        <v>108</v>
      </c>
      <c r="H577" s="15"/>
      <c r="I577" s="15"/>
      <c r="J577" s="15">
        <f t="shared" si="13"/>
        <v>0</v>
      </c>
    </row>
    <row r="578" ht="28.8" spans="1:10">
      <c r="A578" s="12"/>
      <c r="B578" s="12"/>
      <c r="C578" s="13" t="s">
        <v>923</v>
      </c>
      <c r="D578" s="14" t="s">
        <v>11</v>
      </c>
      <c r="E578" s="14" t="s">
        <v>613</v>
      </c>
      <c r="F578" s="13" t="s">
        <v>615</v>
      </c>
      <c r="G578" s="12" t="s">
        <v>108</v>
      </c>
      <c r="H578" s="15"/>
      <c r="I578" s="15"/>
      <c r="J578" s="15">
        <f t="shared" si="13"/>
        <v>0</v>
      </c>
    </row>
    <row r="579" ht="28.8" spans="1:10">
      <c r="A579" s="12"/>
      <c r="B579" s="12"/>
      <c r="C579" s="13" t="s">
        <v>925</v>
      </c>
      <c r="D579" s="14" t="s">
        <v>20</v>
      </c>
      <c r="E579" s="14" t="s">
        <v>47</v>
      </c>
      <c r="F579" s="13" t="s">
        <v>48</v>
      </c>
      <c r="G579" s="12" t="s">
        <v>49</v>
      </c>
      <c r="H579" s="15"/>
      <c r="I579" s="15"/>
      <c r="J579" s="15">
        <f t="shared" si="13"/>
        <v>0</v>
      </c>
    </row>
    <row r="580" ht="28.8" spans="1:10">
      <c r="A580" s="12"/>
      <c r="B580" s="12"/>
      <c r="C580" s="13" t="s">
        <v>925</v>
      </c>
      <c r="D580" s="14" t="s">
        <v>20</v>
      </c>
      <c r="E580" s="14" t="s">
        <v>624</v>
      </c>
      <c r="F580" s="13" t="s">
        <v>625</v>
      </c>
      <c r="G580" s="12" t="s">
        <v>23</v>
      </c>
      <c r="H580" s="15"/>
      <c r="I580" s="15"/>
      <c r="J580" s="15">
        <f t="shared" si="13"/>
        <v>0</v>
      </c>
    </row>
    <row r="581" ht="28.8" spans="1:10">
      <c r="A581" s="12"/>
      <c r="B581" s="12"/>
      <c r="C581" s="13" t="s">
        <v>925</v>
      </c>
      <c r="D581" s="14" t="s">
        <v>20</v>
      </c>
      <c r="E581" s="14" t="s">
        <v>624</v>
      </c>
      <c r="F581" s="13" t="s">
        <v>626</v>
      </c>
      <c r="G581" s="12" t="s">
        <v>23</v>
      </c>
      <c r="H581" s="15"/>
      <c r="I581" s="15"/>
      <c r="J581" s="15">
        <f t="shared" si="13"/>
        <v>0</v>
      </c>
    </row>
    <row r="582" ht="28.8" spans="1:10">
      <c r="A582" s="12"/>
      <c r="B582" s="12"/>
      <c r="C582" s="13" t="s">
        <v>925</v>
      </c>
      <c r="D582" s="14" t="s">
        <v>20</v>
      </c>
      <c r="E582" s="14" t="s">
        <v>624</v>
      </c>
      <c r="F582" s="13" t="s">
        <v>627</v>
      </c>
      <c r="G582" s="12" t="s">
        <v>23</v>
      </c>
      <c r="H582" s="15"/>
      <c r="I582" s="15"/>
      <c r="J582" s="15">
        <f t="shared" si="13"/>
        <v>0</v>
      </c>
    </row>
    <row r="583" ht="28.8" spans="1:10">
      <c r="A583" s="12"/>
      <c r="B583" s="12"/>
      <c r="C583" s="13" t="s">
        <v>925</v>
      </c>
      <c r="D583" s="14" t="s">
        <v>20</v>
      </c>
      <c r="E583" s="14" t="s">
        <v>624</v>
      </c>
      <c r="F583" s="13" t="s">
        <v>628</v>
      </c>
      <c r="G583" s="12" t="s">
        <v>23</v>
      </c>
      <c r="H583" s="15"/>
      <c r="I583" s="15"/>
      <c r="J583" s="15">
        <f t="shared" si="13"/>
        <v>0</v>
      </c>
    </row>
    <row r="584" ht="28.8" spans="1:10">
      <c r="A584" s="12"/>
      <c r="B584" s="12"/>
      <c r="C584" s="13" t="s">
        <v>925</v>
      </c>
      <c r="D584" s="14" t="s">
        <v>20</v>
      </c>
      <c r="E584" s="14" t="s">
        <v>624</v>
      </c>
      <c r="F584" s="13" t="s">
        <v>629</v>
      </c>
      <c r="G584" s="12" t="s">
        <v>23</v>
      </c>
      <c r="H584" s="15"/>
      <c r="I584" s="15"/>
      <c r="J584" s="15">
        <f t="shared" si="13"/>
        <v>0</v>
      </c>
    </row>
    <row r="585" ht="28.8" spans="1:10">
      <c r="A585" s="12"/>
      <c r="B585" s="12"/>
      <c r="C585" s="13" t="s">
        <v>925</v>
      </c>
      <c r="D585" s="14" t="s">
        <v>11</v>
      </c>
      <c r="E585" s="14" t="s">
        <v>630</v>
      </c>
      <c r="F585" s="13" t="s">
        <v>631</v>
      </c>
      <c r="G585" s="12" t="s">
        <v>17</v>
      </c>
      <c r="H585" s="15"/>
      <c r="I585" s="15"/>
      <c r="J585" s="15">
        <f t="shared" si="13"/>
        <v>0</v>
      </c>
    </row>
    <row r="586" ht="28.8" spans="1:10">
      <c r="A586" s="12"/>
      <c r="B586" s="12"/>
      <c r="C586" s="13" t="s">
        <v>927</v>
      </c>
      <c r="D586" s="14" t="s">
        <v>11</v>
      </c>
      <c r="E586" s="14" t="s">
        <v>634</v>
      </c>
      <c r="F586" s="13" t="s">
        <v>635</v>
      </c>
      <c r="G586" s="12" t="s">
        <v>23</v>
      </c>
      <c r="H586" s="15"/>
      <c r="I586" s="15"/>
      <c r="J586" s="15">
        <f t="shared" si="13"/>
        <v>0</v>
      </c>
    </row>
    <row r="587" ht="28.8" spans="1:10">
      <c r="A587" s="12"/>
      <c r="B587" s="12"/>
      <c r="C587" s="13" t="s">
        <v>927</v>
      </c>
      <c r="D587" s="14" t="s">
        <v>20</v>
      </c>
      <c r="E587" s="14" t="s">
        <v>636</v>
      </c>
      <c r="F587" s="13" t="s">
        <v>637</v>
      </c>
      <c r="G587" s="12" t="s">
        <v>23</v>
      </c>
      <c r="H587" s="15"/>
      <c r="I587" s="15"/>
      <c r="J587" s="15">
        <f t="shared" si="13"/>
        <v>0</v>
      </c>
    </row>
    <row r="588" ht="28.8" spans="1:10">
      <c r="A588" s="12"/>
      <c r="B588" s="12"/>
      <c r="C588" s="13" t="s">
        <v>929</v>
      </c>
      <c r="D588" s="14" t="s">
        <v>11</v>
      </c>
      <c r="E588" s="14" t="s">
        <v>634</v>
      </c>
      <c r="F588" s="13" t="s">
        <v>640</v>
      </c>
      <c r="G588" s="12" t="s">
        <v>23</v>
      </c>
      <c r="H588" s="15"/>
      <c r="I588" s="15"/>
      <c r="J588" s="15">
        <f t="shared" si="13"/>
        <v>0</v>
      </c>
    </row>
    <row r="589" ht="28.8" spans="1:10">
      <c r="A589" s="12"/>
      <c r="B589" s="12"/>
      <c r="C589" s="13" t="s">
        <v>929</v>
      </c>
      <c r="D589" s="14" t="s">
        <v>20</v>
      </c>
      <c r="E589" s="14" t="s">
        <v>636</v>
      </c>
      <c r="F589" s="13" t="s">
        <v>641</v>
      </c>
      <c r="G589" s="12" t="s">
        <v>23</v>
      </c>
      <c r="H589" s="15"/>
      <c r="I589" s="15"/>
      <c r="J589" s="15">
        <f t="shared" si="13"/>
        <v>0</v>
      </c>
    </row>
    <row r="590" ht="28.8" spans="1:10">
      <c r="A590" s="12"/>
      <c r="B590" s="12"/>
      <c r="C590" s="13" t="s">
        <v>931</v>
      </c>
      <c r="D590" s="14" t="s">
        <v>11</v>
      </c>
      <c r="E590" s="14" t="s">
        <v>634</v>
      </c>
      <c r="F590" s="13" t="s">
        <v>650</v>
      </c>
      <c r="G590" s="12" t="s">
        <v>23</v>
      </c>
      <c r="H590" s="15"/>
      <c r="I590" s="15"/>
      <c r="J590" s="15">
        <f t="shared" si="13"/>
        <v>0</v>
      </c>
    </row>
    <row r="591" ht="28.8" spans="1:10">
      <c r="A591" s="12"/>
      <c r="B591" s="12"/>
      <c r="C591" s="13" t="s">
        <v>931</v>
      </c>
      <c r="D591" s="14" t="s">
        <v>20</v>
      </c>
      <c r="E591" s="14" t="s">
        <v>636</v>
      </c>
      <c r="F591" s="13" t="s">
        <v>644</v>
      </c>
      <c r="G591" s="12" t="s">
        <v>23</v>
      </c>
      <c r="H591" s="15"/>
      <c r="I591" s="15"/>
      <c r="J591" s="15">
        <f t="shared" si="13"/>
        <v>0</v>
      </c>
    </row>
    <row r="592" ht="28.8" spans="1:10">
      <c r="A592" s="12"/>
      <c r="B592" s="12"/>
      <c r="C592" s="13" t="s">
        <v>933</v>
      </c>
      <c r="D592" s="14" t="s">
        <v>11</v>
      </c>
      <c r="E592" s="14" t="s">
        <v>634</v>
      </c>
      <c r="F592" s="13" t="s">
        <v>635</v>
      </c>
      <c r="G592" s="12" t="s">
        <v>23</v>
      </c>
      <c r="H592" s="15"/>
      <c r="I592" s="15"/>
      <c r="J592" s="15">
        <f t="shared" si="13"/>
        <v>0</v>
      </c>
    </row>
    <row r="593" ht="28.8" spans="1:10">
      <c r="A593" s="12"/>
      <c r="B593" s="12"/>
      <c r="C593" s="13" t="s">
        <v>933</v>
      </c>
      <c r="D593" s="14" t="s">
        <v>11</v>
      </c>
      <c r="E593" s="14" t="s">
        <v>634</v>
      </c>
      <c r="F593" s="13" t="s">
        <v>640</v>
      </c>
      <c r="G593" s="12" t="s">
        <v>23</v>
      </c>
      <c r="H593" s="15"/>
      <c r="I593" s="15"/>
      <c r="J593" s="15">
        <f t="shared" si="13"/>
        <v>0</v>
      </c>
    </row>
    <row r="594" ht="28.8" spans="1:10">
      <c r="A594" s="12"/>
      <c r="B594" s="12"/>
      <c r="C594" s="13" t="s">
        <v>933</v>
      </c>
      <c r="D594" s="14" t="s">
        <v>20</v>
      </c>
      <c r="E594" s="14" t="s">
        <v>636</v>
      </c>
      <c r="F594" s="13" t="s">
        <v>647</v>
      </c>
      <c r="G594" s="12" t="s">
        <v>23</v>
      </c>
      <c r="H594" s="15"/>
      <c r="I594" s="15"/>
      <c r="J594" s="15">
        <f t="shared" si="13"/>
        <v>0</v>
      </c>
    </row>
    <row r="595" ht="28.8" spans="1:10">
      <c r="A595" s="12"/>
      <c r="B595" s="12"/>
      <c r="C595" s="13" t="s">
        <v>935</v>
      </c>
      <c r="D595" s="14" t="s">
        <v>11</v>
      </c>
      <c r="E595" s="14" t="s">
        <v>634</v>
      </c>
      <c r="F595" s="13" t="s">
        <v>640</v>
      </c>
      <c r="G595" s="12" t="s">
        <v>23</v>
      </c>
      <c r="H595" s="15"/>
      <c r="I595" s="15"/>
      <c r="J595" s="15">
        <f t="shared" si="13"/>
        <v>0</v>
      </c>
    </row>
    <row r="596" ht="28.8" spans="1:10">
      <c r="A596" s="12"/>
      <c r="B596" s="12"/>
      <c r="C596" s="13" t="s">
        <v>935</v>
      </c>
      <c r="D596" s="14" t="s">
        <v>11</v>
      </c>
      <c r="E596" s="14" t="s">
        <v>634</v>
      </c>
      <c r="F596" s="13" t="s">
        <v>650</v>
      </c>
      <c r="G596" s="12" t="s">
        <v>23</v>
      </c>
      <c r="H596" s="15"/>
      <c r="I596" s="15"/>
      <c r="J596" s="15">
        <f t="shared" si="13"/>
        <v>0</v>
      </c>
    </row>
    <row r="597" ht="28.8" spans="1:10">
      <c r="A597" s="12"/>
      <c r="B597" s="12"/>
      <c r="C597" s="13" t="s">
        <v>935</v>
      </c>
      <c r="D597" s="14" t="s">
        <v>20</v>
      </c>
      <c r="E597" s="14" t="s">
        <v>636</v>
      </c>
      <c r="F597" s="13" t="s">
        <v>651</v>
      </c>
      <c r="G597" s="12" t="s">
        <v>23</v>
      </c>
      <c r="H597" s="15"/>
      <c r="I597" s="15"/>
      <c r="J597" s="15">
        <f t="shared" si="13"/>
        <v>0</v>
      </c>
    </row>
    <row r="598" ht="28.8" spans="1:10">
      <c r="A598" s="12"/>
      <c r="B598" s="12"/>
      <c r="C598" s="13" t="s">
        <v>937</v>
      </c>
      <c r="D598" s="14" t="s">
        <v>11</v>
      </c>
      <c r="E598" s="14" t="s">
        <v>634</v>
      </c>
      <c r="F598" s="13" t="s">
        <v>635</v>
      </c>
      <c r="G598" s="12" t="s">
        <v>23</v>
      </c>
      <c r="H598" s="15"/>
      <c r="I598" s="15"/>
      <c r="J598" s="15">
        <f t="shared" si="13"/>
        <v>0</v>
      </c>
    </row>
    <row r="599" ht="28.8" spans="1:10">
      <c r="A599" s="12"/>
      <c r="B599" s="12"/>
      <c r="C599" s="13" t="s">
        <v>937</v>
      </c>
      <c r="D599" s="14" t="s">
        <v>11</v>
      </c>
      <c r="E599" s="14" t="s">
        <v>634</v>
      </c>
      <c r="F599" s="13" t="s">
        <v>650</v>
      </c>
      <c r="G599" s="12" t="s">
        <v>23</v>
      </c>
      <c r="H599" s="15"/>
      <c r="I599" s="15"/>
      <c r="J599" s="15">
        <f t="shared" si="13"/>
        <v>0</v>
      </c>
    </row>
    <row r="600" ht="28.8" spans="1:10">
      <c r="A600" s="12"/>
      <c r="B600" s="12"/>
      <c r="C600" s="13" t="s">
        <v>937</v>
      </c>
      <c r="D600" s="14" t="s">
        <v>20</v>
      </c>
      <c r="E600" s="14" t="s">
        <v>636</v>
      </c>
      <c r="F600" s="13" t="s">
        <v>654</v>
      </c>
      <c r="G600" s="12" t="s">
        <v>23</v>
      </c>
      <c r="H600" s="15"/>
      <c r="I600" s="15"/>
      <c r="J600" s="15">
        <f t="shared" si="13"/>
        <v>0</v>
      </c>
    </row>
    <row r="601" spans="1:10">
      <c r="A601" s="12"/>
      <c r="B601" s="12"/>
      <c r="C601" s="13" t="s">
        <v>939</v>
      </c>
      <c r="D601" s="14" t="s">
        <v>11</v>
      </c>
      <c r="E601" s="14" t="s">
        <v>657</v>
      </c>
      <c r="F601" s="13" t="s">
        <v>658</v>
      </c>
      <c r="G601" s="12" t="s">
        <v>34</v>
      </c>
      <c r="H601" s="15"/>
      <c r="I601" s="15"/>
      <c r="J601" s="15">
        <f t="shared" si="13"/>
        <v>0</v>
      </c>
    </row>
    <row r="602" spans="1:10">
      <c r="A602" s="12"/>
      <c r="B602" s="12"/>
      <c r="C602" s="13" t="s">
        <v>941</v>
      </c>
      <c r="D602" s="14" t="s">
        <v>11</v>
      </c>
      <c r="E602" s="14" t="s">
        <v>12</v>
      </c>
      <c r="F602" s="13" t="s">
        <v>13</v>
      </c>
      <c r="G602" s="12" t="s">
        <v>14</v>
      </c>
      <c r="H602" s="15"/>
      <c r="I602" s="15"/>
      <c r="J602" s="15">
        <f t="shared" si="13"/>
        <v>0</v>
      </c>
    </row>
    <row r="603" spans="1:10">
      <c r="A603" s="12"/>
      <c r="B603" s="12"/>
      <c r="C603" s="13" t="s">
        <v>941</v>
      </c>
      <c r="D603" s="14" t="s">
        <v>11</v>
      </c>
      <c r="E603" s="14" t="s">
        <v>12</v>
      </c>
      <c r="F603" s="13" t="s">
        <v>15</v>
      </c>
      <c r="G603" s="12" t="s">
        <v>14</v>
      </c>
      <c r="H603" s="15"/>
      <c r="I603" s="15"/>
      <c r="J603" s="15">
        <f t="shared" si="13"/>
        <v>0</v>
      </c>
    </row>
    <row r="604" spans="1:10">
      <c r="A604" s="12"/>
      <c r="B604" s="12"/>
      <c r="C604" s="13" t="s">
        <v>941</v>
      </c>
      <c r="D604" s="14" t="s">
        <v>11</v>
      </c>
      <c r="E604" s="14" t="s">
        <v>12</v>
      </c>
      <c r="F604" s="13" t="s">
        <v>28</v>
      </c>
      <c r="G604" s="12" t="s">
        <v>14</v>
      </c>
      <c r="H604" s="15"/>
      <c r="I604" s="15"/>
      <c r="J604" s="15">
        <f t="shared" si="13"/>
        <v>0</v>
      </c>
    </row>
    <row r="605" spans="1:10">
      <c r="A605" s="12"/>
      <c r="B605" s="12"/>
      <c r="C605" s="13" t="s">
        <v>941</v>
      </c>
      <c r="D605" s="14" t="s">
        <v>20</v>
      </c>
      <c r="E605" s="14" t="s">
        <v>106</v>
      </c>
      <c r="F605" s="13" t="s">
        <v>107</v>
      </c>
      <c r="G605" s="12" t="s">
        <v>108</v>
      </c>
      <c r="H605" s="15"/>
      <c r="I605" s="15"/>
      <c r="J605" s="15">
        <f t="shared" si="13"/>
        <v>0</v>
      </c>
    </row>
    <row r="606" spans="1:10">
      <c r="A606" s="12"/>
      <c r="B606" s="12"/>
      <c r="C606" s="13" t="s">
        <v>941</v>
      </c>
      <c r="D606" s="14" t="s">
        <v>20</v>
      </c>
      <c r="E606" s="14" t="s">
        <v>596</v>
      </c>
      <c r="F606" s="13" t="s">
        <v>597</v>
      </c>
      <c r="G606" s="12" t="s">
        <v>46</v>
      </c>
      <c r="H606" s="15"/>
      <c r="I606" s="15"/>
      <c r="J606" s="15">
        <f t="shared" si="13"/>
        <v>0</v>
      </c>
    </row>
    <row r="607" spans="1:10">
      <c r="A607" s="12"/>
      <c r="B607" s="12"/>
      <c r="C607" s="13" t="s">
        <v>943</v>
      </c>
      <c r="D607" s="14" t="s">
        <v>11</v>
      </c>
      <c r="E607" s="14" t="s">
        <v>12</v>
      </c>
      <c r="F607" s="13" t="s">
        <v>13</v>
      </c>
      <c r="G607" s="12" t="s">
        <v>14</v>
      </c>
      <c r="H607" s="15"/>
      <c r="I607" s="15"/>
      <c r="J607" s="15">
        <f t="shared" si="13"/>
        <v>0</v>
      </c>
    </row>
    <row r="608" spans="1:10">
      <c r="A608" s="12"/>
      <c r="B608" s="12"/>
      <c r="C608" s="13" t="s">
        <v>943</v>
      </c>
      <c r="D608" s="14" t="s">
        <v>11</v>
      </c>
      <c r="E608" s="14" t="s">
        <v>12</v>
      </c>
      <c r="F608" s="13" t="s">
        <v>15</v>
      </c>
      <c r="G608" s="12" t="s">
        <v>14</v>
      </c>
      <c r="H608" s="15"/>
      <c r="I608" s="15"/>
      <c r="J608" s="15">
        <f t="shared" si="13"/>
        <v>0</v>
      </c>
    </row>
    <row r="609" spans="1:10">
      <c r="A609" s="12"/>
      <c r="B609" s="12"/>
      <c r="C609" s="13" t="s">
        <v>943</v>
      </c>
      <c r="D609" s="14" t="s">
        <v>11</v>
      </c>
      <c r="E609" s="14" t="s">
        <v>12</v>
      </c>
      <c r="F609" s="13" t="s">
        <v>28</v>
      </c>
      <c r="G609" s="12" t="s">
        <v>14</v>
      </c>
      <c r="H609" s="15"/>
      <c r="I609" s="15"/>
      <c r="J609" s="15">
        <f t="shared" si="13"/>
        <v>0</v>
      </c>
    </row>
    <row r="610" spans="1:10">
      <c r="A610" s="12"/>
      <c r="B610" s="12"/>
      <c r="C610" s="13" t="s">
        <v>943</v>
      </c>
      <c r="D610" s="14" t="s">
        <v>20</v>
      </c>
      <c r="E610" s="14" t="s">
        <v>106</v>
      </c>
      <c r="F610" s="13" t="s">
        <v>107</v>
      </c>
      <c r="G610" s="12" t="s">
        <v>108</v>
      </c>
      <c r="H610" s="15"/>
      <c r="I610" s="15"/>
      <c r="J610" s="15">
        <f t="shared" si="13"/>
        <v>0</v>
      </c>
    </row>
    <row r="611" spans="1:10">
      <c r="A611" s="12"/>
      <c r="B611" s="12"/>
      <c r="C611" s="13" t="s">
        <v>945</v>
      </c>
      <c r="D611" s="14" t="s">
        <v>11</v>
      </c>
      <c r="E611" s="14" t="s">
        <v>665</v>
      </c>
      <c r="F611" s="13" t="s">
        <v>666</v>
      </c>
      <c r="G611" s="12" t="s">
        <v>34</v>
      </c>
      <c r="H611" s="15"/>
      <c r="I611" s="15"/>
      <c r="J611" s="15">
        <f t="shared" si="13"/>
        <v>0</v>
      </c>
    </row>
    <row r="612" spans="1:10">
      <c r="A612" s="12"/>
      <c r="B612" s="12"/>
      <c r="C612" s="13" t="s">
        <v>945</v>
      </c>
      <c r="D612" s="14" t="s">
        <v>11</v>
      </c>
      <c r="E612" s="14" t="s">
        <v>12</v>
      </c>
      <c r="F612" s="13" t="s">
        <v>13</v>
      </c>
      <c r="G612" s="12" t="s">
        <v>14</v>
      </c>
      <c r="H612" s="15"/>
      <c r="I612" s="15"/>
      <c r="J612" s="15">
        <f t="shared" si="13"/>
        <v>0</v>
      </c>
    </row>
    <row r="613" spans="1:10">
      <c r="A613" s="12"/>
      <c r="B613" s="12"/>
      <c r="C613" s="13" t="s">
        <v>945</v>
      </c>
      <c r="D613" s="14" t="s">
        <v>11</v>
      </c>
      <c r="E613" s="14" t="s">
        <v>12</v>
      </c>
      <c r="F613" s="13" t="s">
        <v>15</v>
      </c>
      <c r="G613" s="12" t="s">
        <v>14</v>
      </c>
      <c r="H613" s="15"/>
      <c r="I613" s="15"/>
      <c r="J613" s="15">
        <f t="shared" si="13"/>
        <v>0</v>
      </c>
    </row>
    <row r="614" spans="1:10">
      <c r="A614" s="12"/>
      <c r="B614" s="12"/>
      <c r="C614" s="13" t="s">
        <v>945</v>
      </c>
      <c r="D614" s="14" t="s">
        <v>11</v>
      </c>
      <c r="E614" s="14" t="s">
        <v>12</v>
      </c>
      <c r="F614" s="13" t="s">
        <v>28</v>
      </c>
      <c r="G614" s="12" t="s">
        <v>14</v>
      </c>
      <c r="H614" s="15"/>
      <c r="I614" s="15"/>
      <c r="J614" s="15">
        <f t="shared" si="13"/>
        <v>0</v>
      </c>
    </row>
    <row r="615" ht="28.8" spans="1:10">
      <c r="A615" s="12"/>
      <c r="B615" s="12"/>
      <c r="C615" s="13" t="s">
        <v>945</v>
      </c>
      <c r="D615" s="14" t="s">
        <v>20</v>
      </c>
      <c r="E615" s="14" t="s">
        <v>59</v>
      </c>
      <c r="F615" s="13" t="s">
        <v>667</v>
      </c>
      <c r="G615" s="12" t="s">
        <v>49</v>
      </c>
      <c r="H615" s="15"/>
      <c r="I615" s="15"/>
      <c r="J615" s="15">
        <f t="shared" si="13"/>
        <v>0</v>
      </c>
    </row>
    <row r="616" spans="1:10">
      <c r="A616" s="12"/>
      <c r="B616" s="12"/>
      <c r="C616" s="13" t="s">
        <v>945</v>
      </c>
      <c r="D616" s="14" t="s">
        <v>20</v>
      </c>
      <c r="E616" s="14" t="s">
        <v>59</v>
      </c>
      <c r="F616" s="13" t="s">
        <v>668</v>
      </c>
      <c r="G616" s="12" t="s">
        <v>49</v>
      </c>
      <c r="H616" s="15"/>
      <c r="I616" s="15"/>
      <c r="J616" s="15">
        <f t="shared" si="13"/>
        <v>0</v>
      </c>
    </row>
    <row r="617" spans="1:10">
      <c r="A617" s="12"/>
      <c r="B617" s="12"/>
      <c r="C617" s="13" t="s">
        <v>945</v>
      </c>
      <c r="D617" s="14" t="s">
        <v>20</v>
      </c>
      <c r="E617" s="14" t="s">
        <v>59</v>
      </c>
      <c r="F617" s="13" t="s">
        <v>60</v>
      </c>
      <c r="G617" s="12" t="s">
        <v>49</v>
      </c>
      <c r="H617" s="15"/>
      <c r="I617" s="15"/>
      <c r="J617" s="15">
        <f t="shared" si="13"/>
        <v>0</v>
      </c>
    </row>
    <row r="618" spans="1:10">
      <c r="A618" s="12"/>
      <c r="B618" s="12"/>
      <c r="C618" s="13" t="s">
        <v>945</v>
      </c>
      <c r="D618" s="14" t="s">
        <v>20</v>
      </c>
      <c r="E618" s="14" t="s">
        <v>106</v>
      </c>
      <c r="F618" s="13" t="s">
        <v>838</v>
      </c>
      <c r="G618" s="12" t="s">
        <v>108</v>
      </c>
      <c r="H618" s="15"/>
      <c r="I618" s="15"/>
      <c r="J618" s="15">
        <f t="shared" si="13"/>
        <v>0</v>
      </c>
    </row>
    <row r="619" spans="1:10">
      <c r="A619" s="12"/>
      <c r="B619" s="12"/>
      <c r="C619" s="13" t="s">
        <v>947</v>
      </c>
      <c r="D619" s="14" t="s">
        <v>11</v>
      </c>
      <c r="E619" s="14" t="s">
        <v>12</v>
      </c>
      <c r="F619" s="13" t="s">
        <v>13</v>
      </c>
      <c r="G619" s="12" t="s">
        <v>14</v>
      </c>
      <c r="H619" s="15"/>
      <c r="I619" s="15"/>
      <c r="J619" s="15">
        <f t="shared" si="13"/>
        <v>0</v>
      </c>
    </row>
    <row r="620" spans="1:10">
      <c r="A620" s="12"/>
      <c r="B620" s="12"/>
      <c r="C620" s="13" t="s">
        <v>947</v>
      </c>
      <c r="D620" s="14" t="s">
        <v>11</v>
      </c>
      <c r="E620" s="14" t="s">
        <v>12</v>
      </c>
      <c r="F620" s="13" t="s">
        <v>15</v>
      </c>
      <c r="G620" s="12" t="s">
        <v>14</v>
      </c>
      <c r="H620" s="15"/>
      <c r="I620" s="15"/>
      <c r="J620" s="15">
        <f t="shared" si="13"/>
        <v>0</v>
      </c>
    </row>
    <row r="621" spans="1:10">
      <c r="A621" s="12"/>
      <c r="B621" s="12"/>
      <c r="C621" s="13" t="s">
        <v>947</v>
      </c>
      <c r="D621" s="14" t="s">
        <v>11</v>
      </c>
      <c r="E621" s="14" t="s">
        <v>12</v>
      </c>
      <c r="F621" s="13" t="s">
        <v>28</v>
      </c>
      <c r="G621" s="12" t="s">
        <v>14</v>
      </c>
      <c r="H621" s="15"/>
      <c r="I621" s="15"/>
      <c r="J621" s="15">
        <f t="shared" si="13"/>
        <v>0</v>
      </c>
    </row>
    <row r="622" ht="28.8" spans="1:10">
      <c r="A622" s="12"/>
      <c r="B622" s="12"/>
      <c r="C622" s="13" t="s">
        <v>947</v>
      </c>
      <c r="D622" s="14" t="s">
        <v>20</v>
      </c>
      <c r="E622" s="14" t="s">
        <v>59</v>
      </c>
      <c r="F622" s="13" t="s">
        <v>667</v>
      </c>
      <c r="G622" s="12" t="s">
        <v>49</v>
      </c>
      <c r="H622" s="15"/>
      <c r="I622" s="15"/>
      <c r="J622" s="15">
        <f t="shared" si="13"/>
        <v>0</v>
      </c>
    </row>
    <row r="623" spans="1:10">
      <c r="A623" s="12"/>
      <c r="B623" s="12"/>
      <c r="C623" s="13" t="s">
        <v>947</v>
      </c>
      <c r="D623" s="14" t="s">
        <v>20</v>
      </c>
      <c r="E623" s="14" t="s">
        <v>59</v>
      </c>
      <c r="F623" s="13" t="s">
        <v>668</v>
      </c>
      <c r="G623" s="12" t="s">
        <v>49</v>
      </c>
      <c r="H623" s="15"/>
      <c r="I623" s="15"/>
      <c r="J623" s="15">
        <f t="shared" si="13"/>
        <v>0</v>
      </c>
    </row>
    <row r="624" spans="1:10">
      <c r="A624" s="12"/>
      <c r="B624" s="12"/>
      <c r="C624" s="13" t="s">
        <v>947</v>
      </c>
      <c r="D624" s="14" t="s">
        <v>20</v>
      </c>
      <c r="E624" s="14" t="s">
        <v>59</v>
      </c>
      <c r="F624" s="13" t="s">
        <v>60</v>
      </c>
      <c r="G624" s="12" t="s">
        <v>49</v>
      </c>
      <c r="H624" s="15"/>
      <c r="I624" s="15"/>
      <c r="J624" s="15">
        <f t="shared" si="13"/>
        <v>0</v>
      </c>
    </row>
    <row r="625" spans="1:10">
      <c r="A625" s="12"/>
      <c r="B625" s="12"/>
      <c r="C625" s="13" t="s">
        <v>947</v>
      </c>
      <c r="D625" s="14" t="s">
        <v>20</v>
      </c>
      <c r="E625" s="14" t="s">
        <v>106</v>
      </c>
      <c r="F625" s="13" t="s">
        <v>873</v>
      </c>
      <c r="G625" s="12" t="s">
        <v>108</v>
      </c>
      <c r="H625" s="15"/>
      <c r="I625" s="15"/>
      <c r="J625" s="15">
        <f t="shared" si="13"/>
        <v>0</v>
      </c>
    </row>
    <row r="626" ht="28.8" spans="1:10">
      <c r="A626" s="12"/>
      <c r="B626" s="12"/>
      <c r="C626" s="13" t="s">
        <v>949</v>
      </c>
      <c r="D626" s="14" t="s">
        <v>11</v>
      </c>
      <c r="E626" s="14" t="s">
        <v>618</v>
      </c>
      <c r="F626" s="13" t="s">
        <v>619</v>
      </c>
      <c r="G626" s="12" t="s">
        <v>23</v>
      </c>
      <c r="H626" s="15"/>
      <c r="I626" s="15"/>
      <c r="J626" s="15">
        <f t="shared" si="13"/>
        <v>0</v>
      </c>
    </row>
    <row r="627" ht="28.8" spans="1:10">
      <c r="A627" s="12"/>
      <c r="B627" s="12"/>
      <c r="C627" s="13" t="s">
        <v>949</v>
      </c>
      <c r="D627" s="14" t="s">
        <v>11</v>
      </c>
      <c r="E627" s="14" t="s">
        <v>618</v>
      </c>
      <c r="F627" s="13" t="s">
        <v>620</v>
      </c>
      <c r="G627" s="12" t="s">
        <v>23</v>
      </c>
      <c r="H627" s="15"/>
      <c r="I627" s="15"/>
      <c r="J627" s="15">
        <f t="shared" si="13"/>
        <v>0</v>
      </c>
    </row>
    <row r="628" ht="28.8" spans="1:10">
      <c r="A628" s="12"/>
      <c r="B628" s="12"/>
      <c r="C628" s="13" t="s">
        <v>949</v>
      </c>
      <c r="D628" s="14" t="s">
        <v>11</v>
      </c>
      <c r="E628" s="14" t="s">
        <v>618</v>
      </c>
      <c r="F628" s="13" t="s">
        <v>621</v>
      </c>
      <c r="G628" s="12" t="s">
        <v>23</v>
      </c>
      <c r="H628" s="15"/>
      <c r="I628" s="15"/>
      <c r="J628" s="15">
        <f t="shared" si="13"/>
        <v>0</v>
      </c>
    </row>
    <row r="629" ht="28.8" spans="1:10">
      <c r="A629" s="12"/>
      <c r="B629" s="12"/>
      <c r="C629" s="13" t="s">
        <v>951</v>
      </c>
      <c r="D629" s="14" t="s">
        <v>11</v>
      </c>
      <c r="E629" s="14" t="s">
        <v>12</v>
      </c>
      <c r="F629" s="13" t="s">
        <v>13</v>
      </c>
      <c r="G629" s="12" t="s">
        <v>14</v>
      </c>
      <c r="H629" s="15"/>
      <c r="I629" s="15"/>
      <c r="J629" s="15">
        <f t="shared" si="13"/>
        <v>0</v>
      </c>
    </row>
    <row r="630" ht="28.8" spans="1:10">
      <c r="A630" s="12"/>
      <c r="B630" s="12"/>
      <c r="C630" s="13" t="s">
        <v>951</v>
      </c>
      <c r="D630" s="14" t="s">
        <v>20</v>
      </c>
      <c r="E630" s="14" t="s">
        <v>576</v>
      </c>
      <c r="F630" s="13" t="s">
        <v>918</v>
      </c>
      <c r="G630" s="12" t="s">
        <v>100</v>
      </c>
      <c r="H630" s="15"/>
      <c r="I630" s="15"/>
      <c r="J630" s="15">
        <f t="shared" si="13"/>
        <v>0</v>
      </c>
    </row>
    <row r="631" ht="28.8" spans="1:10">
      <c r="A631" s="12"/>
      <c r="B631" s="12"/>
      <c r="C631" s="13" t="s">
        <v>951</v>
      </c>
      <c r="D631" s="14" t="s">
        <v>20</v>
      </c>
      <c r="E631" s="14" t="s">
        <v>104</v>
      </c>
      <c r="F631" s="13" t="s">
        <v>919</v>
      </c>
      <c r="G631" s="12" t="s">
        <v>49</v>
      </c>
      <c r="H631" s="15"/>
      <c r="I631" s="15"/>
      <c r="J631" s="15">
        <f t="shared" si="13"/>
        <v>0</v>
      </c>
    </row>
    <row r="632" ht="28.8" spans="1:10">
      <c r="A632" s="12"/>
      <c r="B632" s="12"/>
      <c r="C632" s="13" t="s">
        <v>951</v>
      </c>
      <c r="D632" s="14" t="s">
        <v>20</v>
      </c>
      <c r="E632" s="14" t="s">
        <v>112</v>
      </c>
      <c r="F632" s="13" t="s">
        <v>113</v>
      </c>
      <c r="G632" s="12" t="s">
        <v>46</v>
      </c>
      <c r="H632" s="15"/>
      <c r="I632" s="15"/>
      <c r="J632" s="15">
        <f t="shared" si="13"/>
        <v>0</v>
      </c>
    </row>
    <row r="633" spans="1:10">
      <c r="A633" s="12"/>
      <c r="B633" s="12"/>
      <c r="C633" s="13" t="s">
        <v>953</v>
      </c>
      <c r="D633" s="14" t="s">
        <v>20</v>
      </c>
      <c r="E633" s="14" t="s">
        <v>102</v>
      </c>
      <c r="F633" s="13" t="s">
        <v>103</v>
      </c>
      <c r="G633" s="12" t="s">
        <v>46</v>
      </c>
      <c r="H633" s="15"/>
      <c r="I633" s="15"/>
      <c r="J633" s="15">
        <f t="shared" si="13"/>
        <v>0</v>
      </c>
    </row>
    <row r="634" spans="1:10">
      <c r="A634" s="12"/>
      <c r="B634" s="12"/>
      <c r="C634" s="13" t="s">
        <v>953</v>
      </c>
      <c r="D634" s="14" t="s">
        <v>20</v>
      </c>
      <c r="E634" s="14" t="s">
        <v>596</v>
      </c>
      <c r="F634" s="13" t="s">
        <v>597</v>
      </c>
      <c r="G634" s="12" t="s">
        <v>46</v>
      </c>
      <c r="H634" s="15"/>
      <c r="I634" s="15"/>
      <c r="J634" s="15">
        <f t="shared" si="13"/>
        <v>0</v>
      </c>
    </row>
    <row r="635" spans="1:10">
      <c r="A635" s="12"/>
      <c r="B635" s="12"/>
      <c r="C635" s="13" t="s">
        <v>953</v>
      </c>
      <c r="D635" s="14" t="s">
        <v>11</v>
      </c>
      <c r="E635" s="14" t="s">
        <v>598</v>
      </c>
      <c r="F635" s="13" t="s">
        <v>599</v>
      </c>
      <c r="G635" s="12" t="s">
        <v>34</v>
      </c>
      <c r="H635" s="15"/>
      <c r="I635" s="15"/>
      <c r="J635" s="15">
        <f t="shared" si="13"/>
        <v>0</v>
      </c>
    </row>
    <row r="636" spans="1:10">
      <c r="A636" s="12"/>
      <c r="B636" s="12"/>
      <c r="C636" s="13" t="s">
        <v>953</v>
      </c>
      <c r="D636" s="14" t="s">
        <v>20</v>
      </c>
      <c r="E636" s="14" t="s">
        <v>600</v>
      </c>
      <c r="F636" s="13" t="s">
        <v>601</v>
      </c>
      <c r="G636" s="12" t="s">
        <v>63</v>
      </c>
      <c r="H636" s="15"/>
      <c r="I636" s="15"/>
      <c r="J636" s="15">
        <f t="shared" si="13"/>
        <v>0</v>
      </c>
    </row>
    <row r="637" ht="28.8" spans="1:10">
      <c r="A637" s="12"/>
      <c r="B637" s="12"/>
      <c r="C637" s="13" t="s">
        <v>955</v>
      </c>
      <c r="D637" s="14" t="s">
        <v>11</v>
      </c>
      <c r="E637" s="14" t="s">
        <v>24</v>
      </c>
      <c r="F637" s="13" t="s">
        <v>604</v>
      </c>
      <c r="G637" s="12" t="s">
        <v>34</v>
      </c>
      <c r="H637" s="15"/>
      <c r="I637" s="15"/>
      <c r="J637" s="15">
        <f t="shared" si="13"/>
        <v>0</v>
      </c>
    </row>
    <row r="638" ht="28.8" spans="1:10">
      <c r="A638" s="12"/>
      <c r="B638" s="12"/>
      <c r="C638" s="13" t="s">
        <v>955</v>
      </c>
      <c r="D638" s="14" t="s">
        <v>11</v>
      </c>
      <c r="E638" s="14" t="s">
        <v>24</v>
      </c>
      <c r="F638" s="13" t="s">
        <v>605</v>
      </c>
      <c r="G638" s="12" t="s">
        <v>34</v>
      </c>
      <c r="H638" s="15"/>
      <c r="I638" s="15"/>
      <c r="J638" s="15">
        <f t="shared" ref="J638:J701" si="14">+ROUND(PRODUCT(H638*I638),0)</f>
        <v>0</v>
      </c>
    </row>
    <row r="639" ht="28.8" spans="1:10">
      <c r="A639" s="12"/>
      <c r="B639" s="12"/>
      <c r="C639" s="13" t="s">
        <v>955</v>
      </c>
      <c r="D639" s="14" t="s">
        <v>11</v>
      </c>
      <c r="E639" s="14" t="s">
        <v>24</v>
      </c>
      <c r="F639" s="13" t="s">
        <v>606</v>
      </c>
      <c r="G639" s="12" t="s">
        <v>34</v>
      </c>
      <c r="H639" s="15"/>
      <c r="I639" s="15"/>
      <c r="J639" s="15">
        <f t="shared" si="14"/>
        <v>0</v>
      </c>
    </row>
    <row r="640" ht="28.8" spans="1:10">
      <c r="A640" s="12"/>
      <c r="B640" s="12"/>
      <c r="C640" s="13" t="s">
        <v>955</v>
      </c>
      <c r="D640" s="14" t="s">
        <v>20</v>
      </c>
      <c r="E640" s="14" t="s">
        <v>47</v>
      </c>
      <c r="F640" s="13" t="s">
        <v>48</v>
      </c>
      <c r="G640" s="12" t="s">
        <v>49</v>
      </c>
      <c r="H640" s="15"/>
      <c r="I640" s="15"/>
      <c r="J640" s="15">
        <f t="shared" si="14"/>
        <v>0</v>
      </c>
    </row>
    <row r="641" ht="28.8" spans="1:10">
      <c r="A641" s="12"/>
      <c r="B641" s="12"/>
      <c r="C641" s="13" t="s">
        <v>955</v>
      </c>
      <c r="D641" s="14" t="s">
        <v>20</v>
      </c>
      <c r="E641" s="14" t="s">
        <v>47</v>
      </c>
      <c r="F641" s="13" t="s">
        <v>50</v>
      </c>
      <c r="G641" s="12" t="s">
        <v>49</v>
      </c>
      <c r="H641" s="15"/>
      <c r="I641" s="15"/>
      <c r="J641" s="15">
        <f t="shared" si="14"/>
        <v>0</v>
      </c>
    </row>
    <row r="642" ht="28.8" spans="1:10">
      <c r="A642" s="12"/>
      <c r="B642" s="12"/>
      <c r="C642" s="13" t="s">
        <v>955</v>
      </c>
      <c r="D642" s="14" t="s">
        <v>20</v>
      </c>
      <c r="E642" s="14" t="s">
        <v>61</v>
      </c>
      <c r="F642" s="13" t="s">
        <v>78</v>
      </c>
      <c r="G642" s="12" t="s">
        <v>49</v>
      </c>
      <c r="H642" s="15"/>
      <c r="I642" s="15"/>
      <c r="J642" s="15">
        <f t="shared" si="14"/>
        <v>0</v>
      </c>
    </row>
    <row r="643" ht="28.8" spans="1:10">
      <c r="A643" s="12"/>
      <c r="B643" s="12"/>
      <c r="C643" s="13" t="s">
        <v>955</v>
      </c>
      <c r="D643" s="14" t="s">
        <v>20</v>
      </c>
      <c r="E643" s="14" t="s">
        <v>61</v>
      </c>
      <c r="F643" s="13" t="s">
        <v>607</v>
      </c>
      <c r="G643" s="12" t="s">
        <v>23</v>
      </c>
      <c r="H643" s="15"/>
      <c r="I643" s="15"/>
      <c r="J643" s="15">
        <f t="shared" si="14"/>
        <v>0</v>
      </c>
    </row>
    <row r="644" ht="28.8" spans="1:10">
      <c r="A644" s="12"/>
      <c r="B644" s="12"/>
      <c r="C644" s="13" t="s">
        <v>955</v>
      </c>
      <c r="D644" s="14" t="s">
        <v>20</v>
      </c>
      <c r="E644" s="14" t="s">
        <v>84</v>
      </c>
      <c r="F644" s="13" t="s">
        <v>86</v>
      </c>
      <c r="G644" s="12" t="s">
        <v>49</v>
      </c>
      <c r="H644" s="15"/>
      <c r="I644" s="15"/>
      <c r="J644" s="15">
        <f t="shared" si="14"/>
        <v>0</v>
      </c>
    </row>
    <row r="645" ht="28.8" spans="1:10">
      <c r="A645" s="12"/>
      <c r="B645" s="12"/>
      <c r="C645" s="13" t="s">
        <v>955</v>
      </c>
      <c r="D645" s="14" t="s">
        <v>20</v>
      </c>
      <c r="E645" s="14" t="s">
        <v>84</v>
      </c>
      <c r="F645" s="13" t="s">
        <v>87</v>
      </c>
      <c r="G645" s="12" t="s">
        <v>49</v>
      </c>
      <c r="H645" s="15"/>
      <c r="I645" s="15"/>
      <c r="J645" s="15">
        <f t="shared" si="14"/>
        <v>0</v>
      </c>
    </row>
    <row r="646" ht="28.8" spans="1:10">
      <c r="A646" s="12"/>
      <c r="B646" s="12"/>
      <c r="C646" s="13" t="s">
        <v>955</v>
      </c>
      <c r="D646" s="14" t="s">
        <v>20</v>
      </c>
      <c r="E646" s="14" t="s">
        <v>84</v>
      </c>
      <c r="F646" s="13" t="s">
        <v>608</v>
      </c>
      <c r="G646" s="12" t="s">
        <v>100</v>
      </c>
      <c r="H646" s="15"/>
      <c r="I646" s="15"/>
      <c r="J646" s="15">
        <f t="shared" si="14"/>
        <v>0</v>
      </c>
    </row>
    <row r="647" ht="28.8" spans="1:10">
      <c r="A647" s="12"/>
      <c r="B647" s="12"/>
      <c r="C647" s="13" t="s">
        <v>955</v>
      </c>
      <c r="D647" s="14" t="s">
        <v>20</v>
      </c>
      <c r="E647" s="14" t="s">
        <v>84</v>
      </c>
      <c r="F647" s="13" t="s">
        <v>609</v>
      </c>
      <c r="G647" s="12" t="s">
        <v>63</v>
      </c>
      <c r="H647" s="15"/>
      <c r="I647" s="15"/>
      <c r="J647" s="15">
        <f t="shared" si="14"/>
        <v>0</v>
      </c>
    </row>
    <row r="648" ht="28.8" spans="1:10">
      <c r="A648" s="12"/>
      <c r="B648" s="12"/>
      <c r="C648" s="13" t="s">
        <v>955</v>
      </c>
      <c r="D648" s="14" t="s">
        <v>20</v>
      </c>
      <c r="E648" s="14" t="s">
        <v>84</v>
      </c>
      <c r="F648" s="13" t="s">
        <v>956</v>
      </c>
      <c r="G648" s="12" t="s">
        <v>611</v>
      </c>
      <c r="H648" s="15"/>
      <c r="I648" s="15"/>
      <c r="J648" s="15">
        <f t="shared" si="14"/>
        <v>0</v>
      </c>
    </row>
    <row r="649" ht="28.8" spans="1:10">
      <c r="A649" s="12"/>
      <c r="B649" s="12"/>
      <c r="C649" s="13" t="s">
        <v>955</v>
      </c>
      <c r="D649" s="14" t="s">
        <v>20</v>
      </c>
      <c r="E649" s="14" t="s">
        <v>84</v>
      </c>
      <c r="F649" s="13" t="s">
        <v>683</v>
      </c>
      <c r="G649" s="12" t="s">
        <v>611</v>
      </c>
      <c r="H649" s="15"/>
      <c r="I649" s="15"/>
      <c r="J649" s="15">
        <f t="shared" si="14"/>
        <v>0</v>
      </c>
    </row>
    <row r="650" ht="28.8" spans="1:10">
      <c r="A650" s="12"/>
      <c r="B650" s="12"/>
      <c r="C650" s="13" t="s">
        <v>955</v>
      </c>
      <c r="D650" s="14" t="s">
        <v>20</v>
      </c>
      <c r="E650" s="14" t="s">
        <v>84</v>
      </c>
      <c r="F650" s="13" t="s">
        <v>610</v>
      </c>
      <c r="G650" s="12" t="s">
        <v>611</v>
      </c>
      <c r="H650" s="15"/>
      <c r="I650" s="15"/>
      <c r="J650" s="15">
        <f t="shared" si="14"/>
        <v>0</v>
      </c>
    </row>
    <row r="651" ht="28.8" spans="1:10">
      <c r="A651" s="12"/>
      <c r="B651" s="12"/>
      <c r="C651" s="13" t="s">
        <v>955</v>
      </c>
      <c r="D651" s="14" t="s">
        <v>20</v>
      </c>
      <c r="E651" s="14" t="s">
        <v>84</v>
      </c>
      <c r="F651" s="13" t="s">
        <v>612</v>
      </c>
      <c r="G651" s="12" t="s">
        <v>611</v>
      </c>
      <c r="H651" s="15"/>
      <c r="I651" s="15"/>
      <c r="J651" s="15">
        <f t="shared" si="14"/>
        <v>0</v>
      </c>
    </row>
    <row r="652" ht="28.8" spans="1:10">
      <c r="A652" s="12"/>
      <c r="B652" s="12"/>
      <c r="C652" s="13" t="s">
        <v>955</v>
      </c>
      <c r="D652" s="14" t="s">
        <v>20</v>
      </c>
      <c r="E652" s="14" t="s">
        <v>84</v>
      </c>
      <c r="F652" s="13" t="s">
        <v>684</v>
      </c>
      <c r="G652" s="12" t="s">
        <v>23</v>
      </c>
      <c r="H652" s="15"/>
      <c r="I652" s="15"/>
      <c r="J652" s="15">
        <f t="shared" si="14"/>
        <v>0</v>
      </c>
    </row>
    <row r="653" ht="28.8" spans="1:10">
      <c r="A653" s="12"/>
      <c r="B653" s="12"/>
      <c r="C653" s="13" t="s">
        <v>955</v>
      </c>
      <c r="D653" s="14" t="s">
        <v>20</v>
      </c>
      <c r="E653" s="14" t="s">
        <v>624</v>
      </c>
      <c r="F653" s="13" t="s">
        <v>957</v>
      </c>
      <c r="G653" s="12" t="s">
        <v>23</v>
      </c>
      <c r="H653" s="15"/>
      <c r="I653" s="15"/>
      <c r="J653" s="15">
        <f t="shared" si="14"/>
        <v>0</v>
      </c>
    </row>
    <row r="654" ht="28.8" spans="1:10">
      <c r="A654" s="12"/>
      <c r="B654" s="12"/>
      <c r="C654" s="13" t="s">
        <v>955</v>
      </c>
      <c r="D654" s="14" t="s">
        <v>20</v>
      </c>
      <c r="E654" s="14" t="s">
        <v>624</v>
      </c>
      <c r="F654" s="13" t="s">
        <v>958</v>
      </c>
      <c r="G654" s="12" t="s">
        <v>23</v>
      </c>
      <c r="H654" s="15"/>
      <c r="I654" s="15"/>
      <c r="J654" s="15">
        <f t="shared" si="14"/>
        <v>0</v>
      </c>
    </row>
    <row r="655" ht="28.8" spans="1:10">
      <c r="A655" s="12"/>
      <c r="B655" s="12"/>
      <c r="C655" s="13" t="s">
        <v>955</v>
      </c>
      <c r="D655" s="14" t="s">
        <v>20</v>
      </c>
      <c r="E655" s="14" t="s">
        <v>624</v>
      </c>
      <c r="F655" s="13" t="s">
        <v>959</v>
      </c>
      <c r="G655" s="12" t="s">
        <v>23</v>
      </c>
      <c r="H655" s="15"/>
      <c r="I655" s="15"/>
      <c r="J655" s="15">
        <f t="shared" si="14"/>
        <v>0</v>
      </c>
    </row>
    <row r="656" ht="28.8" spans="1:10">
      <c r="A656" s="12"/>
      <c r="B656" s="12"/>
      <c r="C656" s="13" t="s">
        <v>955</v>
      </c>
      <c r="D656" s="14" t="s">
        <v>20</v>
      </c>
      <c r="E656" s="14" t="s">
        <v>624</v>
      </c>
      <c r="F656" s="13" t="s">
        <v>629</v>
      </c>
      <c r="G656" s="12" t="s">
        <v>23</v>
      </c>
      <c r="H656" s="15"/>
      <c r="I656" s="15"/>
      <c r="J656" s="15">
        <f t="shared" si="14"/>
        <v>0</v>
      </c>
    </row>
    <row r="657" ht="28.8" spans="1:10">
      <c r="A657" s="12"/>
      <c r="B657" s="12"/>
      <c r="C657" s="13" t="s">
        <v>955</v>
      </c>
      <c r="D657" s="14" t="s">
        <v>20</v>
      </c>
      <c r="E657" s="14" t="s">
        <v>337</v>
      </c>
      <c r="F657" s="13" t="s">
        <v>960</v>
      </c>
      <c r="G657" s="12" t="s">
        <v>23</v>
      </c>
      <c r="H657" s="15"/>
      <c r="I657" s="15"/>
      <c r="J657" s="15">
        <f t="shared" si="14"/>
        <v>0</v>
      </c>
    </row>
    <row r="658" ht="28.8" spans="1:10">
      <c r="A658" s="12"/>
      <c r="B658" s="12"/>
      <c r="C658" s="13" t="s">
        <v>955</v>
      </c>
      <c r="D658" s="14" t="s">
        <v>20</v>
      </c>
      <c r="E658" s="14" t="s">
        <v>337</v>
      </c>
      <c r="F658" s="13" t="s">
        <v>961</v>
      </c>
      <c r="G658" s="12" t="s">
        <v>23</v>
      </c>
      <c r="H658" s="15"/>
      <c r="I658" s="15"/>
      <c r="J658" s="15">
        <f t="shared" si="14"/>
        <v>0</v>
      </c>
    </row>
    <row r="659" ht="28.8" spans="1:10">
      <c r="A659" s="12"/>
      <c r="B659" s="12"/>
      <c r="C659" s="13" t="s">
        <v>955</v>
      </c>
      <c r="D659" s="14" t="s">
        <v>20</v>
      </c>
      <c r="E659" s="14" t="s">
        <v>337</v>
      </c>
      <c r="F659" s="13" t="s">
        <v>962</v>
      </c>
      <c r="G659" s="12" t="s">
        <v>42</v>
      </c>
      <c r="H659" s="15"/>
      <c r="I659" s="15"/>
      <c r="J659" s="15">
        <f t="shared" si="14"/>
        <v>0</v>
      </c>
    </row>
    <row r="660" ht="28.8" spans="1:10">
      <c r="A660" s="12"/>
      <c r="B660" s="12"/>
      <c r="C660" s="13" t="s">
        <v>955</v>
      </c>
      <c r="D660" s="14" t="s">
        <v>20</v>
      </c>
      <c r="E660" s="14" t="s">
        <v>337</v>
      </c>
      <c r="F660" s="13" t="s">
        <v>963</v>
      </c>
      <c r="G660" s="12" t="s">
        <v>23</v>
      </c>
      <c r="H660" s="15"/>
      <c r="I660" s="15"/>
      <c r="J660" s="15">
        <f t="shared" si="14"/>
        <v>0</v>
      </c>
    </row>
    <row r="661" ht="28.8" spans="1:10">
      <c r="A661" s="12"/>
      <c r="B661" s="12"/>
      <c r="C661" s="13" t="s">
        <v>955</v>
      </c>
      <c r="D661" s="14" t="s">
        <v>20</v>
      </c>
      <c r="E661" s="14" t="s">
        <v>337</v>
      </c>
      <c r="F661" s="13" t="s">
        <v>964</v>
      </c>
      <c r="G661" s="12" t="s">
        <v>23</v>
      </c>
      <c r="H661" s="15"/>
      <c r="I661" s="15"/>
      <c r="J661" s="15">
        <f t="shared" si="14"/>
        <v>0</v>
      </c>
    </row>
    <row r="662" ht="28.8" spans="1:10">
      <c r="A662" s="12"/>
      <c r="B662" s="12"/>
      <c r="C662" s="13" t="s">
        <v>955</v>
      </c>
      <c r="D662" s="14" t="s">
        <v>20</v>
      </c>
      <c r="E662" s="14" t="s">
        <v>114</v>
      </c>
      <c r="F662" s="13" t="s">
        <v>965</v>
      </c>
      <c r="G662" s="12" t="s">
        <v>49</v>
      </c>
      <c r="H662" s="15"/>
      <c r="I662" s="15"/>
      <c r="J662" s="15">
        <f t="shared" si="14"/>
        <v>0</v>
      </c>
    </row>
    <row r="663" ht="28.8" spans="1:10">
      <c r="A663" s="12"/>
      <c r="B663" s="12"/>
      <c r="C663" s="13" t="s">
        <v>955</v>
      </c>
      <c r="D663" s="14" t="s">
        <v>20</v>
      </c>
      <c r="E663" s="14" t="s">
        <v>114</v>
      </c>
      <c r="F663" s="13" t="s">
        <v>121</v>
      </c>
      <c r="G663" s="12" t="s">
        <v>49</v>
      </c>
      <c r="H663" s="15"/>
      <c r="I663" s="15"/>
      <c r="J663" s="15">
        <f t="shared" si="14"/>
        <v>0</v>
      </c>
    </row>
    <row r="664" ht="28.8" spans="1:10">
      <c r="A664" s="12"/>
      <c r="B664" s="12"/>
      <c r="C664" s="13" t="s">
        <v>955</v>
      </c>
      <c r="D664" s="14" t="s">
        <v>11</v>
      </c>
      <c r="E664" s="14" t="s">
        <v>613</v>
      </c>
      <c r="F664" s="13" t="s">
        <v>614</v>
      </c>
      <c r="G664" s="12" t="s">
        <v>108</v>
      </c>
      <c r="H664" s="15"/>
      <c r="I664" s="15"/>
      <c r="J664" s="15">
        <f t="shared" si="14"/>
        <v>0</v>
      </c>
    </row>
    <row r="665" ht="28.8" spans="1:10">
      <c r="A665" s="12"/>
      <c r="B665" s="12"/>
      <c r="C665" s="13" t="s">
        <v>955</v>
      </c>
      <c r="D665" s="14" t="s">
        <v>11</v>
      </c>
      <c r="E665" s="14" t="s">
        <v>613</v>
      </c>
      <c r="F665" s="13" t="s">
        <v>615</v>
      </c>
      <c r="G665" s="12" t="s">
        <v>108</v>
      </c>
      <c r="H665" s="15"/>
      <c r="I665" s="15"/>
      <c r="J665" s="15">
        <f t="shared" si="14"/>
        <v>0</v>
      </c>
    </row>
    <row r="666" ht="28.8" spans="1:10">
      <c r="A666" s="12"/>
      <c r="B666" s="12"/>
      <c r="C666" s="13" t="s">
        <v>967</v>
      </c>
      <c r="D666" s="14" t="s">
        <v>20</v>
      </c>
      <c r="E666" s="14" t="s">
        <v>47</v>
      </c>
      <c r="F666" s="13" t="s">
        <v>48</v>
      </c>
      <c r="G666" s="12" t="s">
        <v>49</v>
      </c>
      <c r="H666" s="15"/>
      <c r="I666" s="15"/>
      <c r="J666" s="15">
        <f t="shared" si="14"/>
        <v>0</v>
      </c>
    </row>
    <row r="667" ht="28.8" spans="1:10">
      <c r="A667" s="12"/>
      <c r="B667" s="12"/>
      <c r="C667" s="13" t="s">
        <v>967</v>
      </c>
      <c r="D667" s="14" t="s">
        <v>20</v>
      </c>
      <c r="E667" s="14" t="s">
        <v>624</v>
      </c>
      <c r="F667" s="13" t="s">
        <v>625</v>
      </c>
      <c r="G667" s="12" t="s">
        <v>23</v>
      </c>
      <c r="H667" s="15"/>
      <c r="I667" s="15"/>
      <c r="J667" s="15">
        <f t="shared" si="14"/>
        <v>0</v>
      </c>
    </row>
    <row r="668" ht="28.8" spans="1:10">
      <c r="A668" s="12"/>
      <c r="B668" s="12"/>
      <c r="C668" s="13" t="s">
        <v>967</v>
      </c>
      <c r="D668" s="14" t="s">
        <v>20</v>
      </c>
      <c r="E668" s="14" t="s">
        <v>624</v>
      </c>
      <c r="F668" s="13" t="s">
        <v>626</v>
      </c>
      <c r="G668" s="12" t="s">
        <v>23</v>
      </c>
      <c r="H668" s="15"/>
      <c r="I668" s="15"/>
      <c r="J668" s="15">
        <f t="shared" si="14"/>
        <v>0</v>
      </c>
    </row>
    <row r="669" ht="28.8" spans="1:10">
      <c r="A669" s="12"/>
      <c r="B669" s="12"/>
      <c r="C669" s="13" t="s">
        <v>967</v>
      </c>
      <c r="D669" s="14" t="s">
        <v>20</v>
      </c>
      <c r="E669" s="14" t="s">
        <v>624</v>
      </c>
      <c r="F669" s="13" t="s">
        <v>627</v>
      </c>
      <c r="G669" s="12" t="s">
        <v>23</v>
      </c>
      <c r="H669" s="15"/>
      <c r="I669" s="15"/>
      <c r="J669" s="15">
        <f t="shared" si="14"/>
        <v>0</v>
      </c>
    </row>
    <row r="670" ht="28.8" spans="1:10">
      <c r="A670" s="12"/>
      <c r="B670" s="12"/>
      <c r="C670" s="13" t="s">
        <v>967</v>
      </c>
      <c r="D670" s="14" t="s">
        <v>20</v>
      </c>
      <c r="E670" s="14" t="s">
        <v>624</v>
      </c>
      <c r="F670" s="13" t="s">
        <v>628</v>
      </c>
      <c r="G670" s="12" t="s">
        <v>23</v>
      </c>
      <c r="H670" s="15"/>
      <c r="I670" s="15"/>
      <c r="J670" s="15">
        <f t="shared" si="14"/>
        <v>0</v>
      </c>
    </row>
    <row r="671" ht="28.8" spans="1:10">
      <c r="A671" s="12"/>
      <c r="B671" s="12"/>
      <c r="C671" s="13" t="s">
        <v>967</v>
      </c>
      <c r="D671" s="14" t="s">
        <v>20</v>
      </c>
      <c r="E671" s="14" t="s">
        <v>624</v>
      </c>
      <c r="F671" s="13" t="s">
        <v>629</v>
      </c>
      <c r="G671" s="12" t="s">
        <v>23</v>
      </c>
      <c r="H671" s="15"/>
      <c r="I671" s="15"/>
      <c r="J671" s="15">
        <f t="shared" si="14"/>
        <v>0</v>
      </c>
    </row>
    <row r="672" ht="28.8" spans="1:10">
      <c r="A672" s="12"/>
      <c r="B672" s="12"/>
      <c r="C672" s="13" t="s">
        <v>967</v>
      </c>
      <c r="D672" s="14" t="s">
        <v>11</v>
      </c>
      <c r="E672" s="14" t="s">
        <v>630</v>
      </c>
      <c r="F672" s="13" t="s">
        <v>631</v>
      </c>
      <c r="G672" s="12" t="s">
        <v>17</v>
      </c>
      <c r="H672" s="15"/>
      <c r="I672" s="15"/>
      <c r="J672" s="15">
        <f t="shared" si="14"/>
        <v>0</v>
      </c>
    </row>
    <row r="673" ht="28.8" spans="1:10">
      <c r="A673" s="12"/>
      <c r="B673" s="12"/>
      <c r="C673" s="13" t="s">
        <v>969</v>
      </c>
      <c r="D673" s="14" t="s">
        <v>11</v>
      </c>
      <c r="E673" s="14" t="s">
        <v>634</v>
      </c>
      <c r="F673" s="13" t="s">
        <v>635</v>
      </c>
      <c r="G673" s="12" t="s">
        <v>23</v>
      </c>
      <c r="H673" s="15"/>
      <c r="I673" s="15"/>
      <c r="J673" s="15">
        <f t="shared" si="14"/>
        <v>0</v>
      </c>
    </row>
    <row r="674" ht="28.8" spans="1:10">
      <c r="A674" s="12"/>
      <c r="B674" s="12"/>
      <c r="C674" s="13" t="s">
        <v>969</v>
      </c>
      <c r="D674" s="14" t="s">
        <v>20</v>
      </c>
      <c r="E674" s="14" t="s">
        <v>636</v>
      </c>
      <c r="F674" s="13" t="s">
        <v>637</v>
      </c>
      <c r="G674" s="12" t="s">
        <v>23</v>
      </c>
      <c r="H674" s="15"/>
      <c r="I674" s="15"/>
      <c r="J674" s="15">
        <f t="shared" si="14"/>
        <v>0</v>
      </c>
    </row>
    <row r="675" ht="28.8" spans="1:10">
      <c r="A675" s="12"/>
      <c r="B675" s="12"/>
      <c r="C675" s="13" t="s">
        <v>971</v>
      </c>
      <c r="D675" s="14" t="s">
        <v>11</v>
      </c>
      <c r="E675" s="14" t="s">
        <v>634</v>
      </c>
      <c r="F675" s="13" t="s">
        <v>640</v>
      </c>
      <c r="G675" s="12" t="s">
        <v>23</v>
      </c>
      <c r="H675" s="15"/>
      <c r="I675" s="15"/>
      <c r="J675" s="15">
        <f t="shared" si="14"/>
        <v>0</v>
      </c>
    </row>
    <row r="676" ht="28.8" spans="1:10">
      <c r="A676" s="12"/>
      <c r="B676" s="12"/>
      <c r="C676" s="13" t="s">
        <v>971</v>
      </c>
      <c r="D676" s="14" t="s">
        <v>20</v>
      </c>
      <c r="E676" s="14" t="s">
        <v>636</v>
      </c>
      <c r="F676" s="13" t="s">
        <v>641</v>
      </c>
      <c r="G676" s="12" t="s">
        <v>23</v>
      </c>
      <c r="H676" s="15"/>
      <c r="I676" s="15"/>
      <c r="J676" s="15">
        <f t="shared" si="14"/>
        <v>0</v>
      </c>
    </row>
    <row r="677" ht="28.8" spans="1:10">
      <c r="A677" s="12"/>
      <c r="B677" s="12"/>
      <c r="C677" s="13" t="s">
        <v>973</v>
      </c>
      <c r="D677" s="14" t="s">
        <v>11</v>
      </c>
      <c r="E677" s="14" t="s">
        <v>634</v>
      </c>
      <c r="F677" s="13" t="s">
        <v>650</v>
      </c>
      <c r="G677" s="12" t="s">
        <v>23</v>
      </c>
      <c r="H677" s="15"/>
      <c r="I677" s="15"/>
      <c r="J677" s="15">
        <f t="shared" si="14"/>
        <v>0</v>
      </c>
    </row>
    <row r="678" ht="28.8" spans="1:10">
      <c r="A678" s="12"/>
      <c r="B678" s="12"/>
      <c r="C678" s="13" t="s">
        <v>973</v>
      </c>
      <c r="D678" s="14" t="s">
        <v>20</v>
      </c>
      <c r="E678" s="14" t="s">
        <v>636</v>
      </c>
      <c r="F678" s="13" t="s">
        <v>644</v>
      </c>
      <c r="G678" s="12" t="s">
        <v>23</v>
      </c>
      <c r="H678" s="15"/>
      <c r="I678" s="15"/>
      <c r="J678" s="15">
        <f t="shared" si="14"/>
        <v>0</v>
      </c>
    </row>
    <row r="679" ht="28.8" spans="1:10">
      <c r="A679" s="12"/>
      <c r="B679" s="12"/>
      <c r="C679" s="13" t="s">
        <v>975</v>
      </c>
      <c r="D679" s="14" t="s">
        <v>11</v>
      </c>
      <c r="E679" s="14" t="s">
        <v>634</v>
      </c>
      <c r="F679" s="13" t="s">
        <v>635</v>
      </c>
      <c r="G679" s="12" t="s">
        <v>23</v>
      </c>
      <c r="H679" s="15"/>
      <c r="I679" s="15"/>
      <c r="J679" s="15">
        <f t="shared" si="14"/>
        <v>0</v>
      </c>
    </row>
    <row r="680" ht="28.8" spans="1:10">
      <c r="A680" s="12"/>
      <c r="B680" s="12"/>
      <c r="C680" s="13" t="s">
        <v>975</v>
      </c>
      <c r="D680" s="14" t="s">
        <v>11</v>
      </c>
      <c r="E680" s="14" t="s">
        <v>634</v>
      </c>
      <c r="F680" s="13" t="s">
        <v>640</v>
      </c>
      <c r="G680" s="12" t="s">
        <v>23</v>
      </c>
      <c r="H680" s="15"/>
      <c r="I680" s="15"/>
      <c r="J680" s="15">
        <f t="shared" si="14"/>
        <v>0</v>
      </c>
    </row>
    <row r="681" ht="28.8" spans="1:10">
      <c r="A681" s="12"/>
      <c r="B681" s="12"/>
      <c r="C681" s="13" t="s">
        <v>975</v>
      </c>
      <c r="D681" s="14" t="s">
        <v>20</v>
      </c>
      <c r="E681" s="14" t="s">
        <v>636</v>
      </c>
      <c r="F681" s="13" t="s">
        <v>647</v>
      </c>
      <c r="G681" s="12" t="s">
        <v>23</v>
      </c>
      <c r="H681" s="15"/>
      <c r="I681" s="15"/>
      <c r="J681" s="15">
        <f t="shared" si="14"/>
        <v>0</v>
      </c>
    </row>
    <row r="682" ht="28.8" spans="1:10">
      <c r="A682" s="12"/>
      <c r="B682" s="12"/>
      <c r="C682" s="13" t="s">
        <v>977</v>
      </c>
      <c r="D682" s="14" t="s">
        <v>11</v>
      </c>
      <c r="E682" s="14" t="s">
        <v>634</v>
      </c>
      <c r="F682" s="13" t="s">
        <v>640</v>
      </c>
      <c r="G682" s="12" t="s">
        <v>23</v>
      </c>
      <c r="H682" s="15"/>
      <c r="I682" s="15"/>
      <c r="J682" s="15">
        <f t="shared" si="14"/>
        <v>0</v>
      </c>
    </row>
    <row r="683" ht="28.8" spans="1:10">
      <c r="A683" s="12"/>
      <c r="B683" s="12"/>
      <c r="C683" s="13" t="s">
        <v>977</v>
      </c>
      <c r="D683" s="14" t="s">
        <v>11</v>
      </c>
      <c r="E683" s="14" t="s">
        <v>634</v>
      </c>
      <c r="F683" s="13" t="s">
        <v>650</v>
      </c>
      <c r="G683" s="12" t="s">
        <v>23</v>
      </c>
      <c r="H683" s="15"/>
      <c r="I683" s="15"/>
      <c r="J683" s="15">
        <f t="shared" si="14"/>
        <v>0</v>
      </c>
    </row>
    <row r="684" ht="28.8" spans="1:10">
      <c r="A684" s="12"/>
      <c r="B684" s="12"/>
      <c r="C684" s="13" t="s">
        <v>977</v>
      </c>
      <c r="D684" s="14" t="s">
        <v>20</v>
      </c>
      <c r="E684" s="14" t="s">
        <v>636</v>
      </c>
      <c r="F684" s="13" t="s">
        <v>651</v>
      </c>
      <c r="G684" s="12" t="s">
        <v>23</v>
      </c>
      <c r="H684" s="15"/>
      <c r="I684" s="15"/>
      <c r="J684" s="15">
        <f t="shared" si="14"/>
        <v>0</v>
      </c>
    </row>
    <row r="685" ht="28.8" spans="1:10">
      <c r="A685" s="12"/>
      <c r="B685" s="12"/>
      <c r="C685" s="13" t="s">
        <v>979</v>
      </c>
      <c r="D685" s="14" t="s">
        <v>11</v>
      </c>
      <c r="E685" s="14" t="s">
        <v>634</v>
      </c>
      <c r="F685" s="13" t="s">
        <v>635</v>
      </c>
      <c r="G685" s="12" t="s">
        <v>23</v>
      </c>
      <c r="H685" s="15"/>
      <c r="I685" s="15"/>
      <c r="J685" s="15">
        <f t="shared" si="14"/>
        <v>0</v>
      </c>
    </row>
    <row r="686" ht="28.8" spans="1:10">
      <c r="A686" s="12"/>
      <c r="B686" s="12"/>
      <c r="C686" s="13" t="s">
        <v>979</v>
      </c>
      <c r="D686" s="14" t="s">
        <v>11</v>
      </c>
      <c r="E686" s="14" t="s">
        <v>634</v>
      </c>
      <c r="F686" s="13" t="s">
        <v>650</v>
      </c>
      <c r="G686" s="12" t="s">
        <v>23</v>
      </c>
      <c r="H686" s="15"/>
      <c r="I686" s="15"/>
      <c r="J686" s="15">
        <f t="shared" si="14"/>
        <v>0</v>
      </c>
    </row>
    <row r="687" ht="28.8" spans="1:10">
      <c r="A687" s="12"/>
      <c r="B687" s="12"/>
      <c r="C687" s="13" t="s">
        <v>979</v>
      </c>
      <c r="D687" s="14" t="s">
        <v>20</v>
      </c>
      <c r="E687" s="14" t="s">
        <v>636</v>
      </c>
      <c r="F687" s="13" t="s">
        <v>654</v>
      </c>
      <c r="G687" s="12" t="s">
        <v>23</v>
      </c>
      <c r="H687" s="15"/>
      <c r="I687" s="15"/>
      <c r="J687" s="15">
        <f t="shared" si="14"/>
        <v>0</v>
      </c>
    </row>
    <row r="688" spans="1:10">
      <c r="A688" s="12"/>
      <c r="B688" s="12"/>
      <c r="C688" s="13" t="s">
        <v>981</v>
      </c>
      <c r="D688" s="14" t="s">
        <v>11</v>
      </c>
      <c r="E688" s="14" t="s">
        <v>657</v>
      </c>
      <c r="F688" s="13" t="s">
        <v>658</v>
      </c>
      <c r="G688" s="12" t="s">
        <v>34</v>
      </c>
      <c r="H688" s="15"/>
      <c r="I688" s="15"/>
      <c r="J688" s="15">
        <f t="shared" si="14"/>
        <v>0</v>
      </c>
    </row>
    <row r="689" spans="1:10">
      <c r="A689" s="12"/>
      <c r="B689" s="12"/>
      <c r="C689" s="13" t="s">
        <v>983</v>
      </c>
      <c r="D689" s="14" t="s">
        <v>11</v>
      </c>
      <c r="E689" s="14" t="s">
        <v>12</v>
      </c>
      <c r="F689" s="13" t="s">
        <v>13</v>
      </c>
      <c r="G689" s="12" t="s">
        <v>14</v>
      </c>
      <c r="H689" s="15"/>
      <c r="I689" s="15"/>
      <c r="J689" s="15">
        <f t="shared" si="14"/>
        <v>0</v>
      </c>
    </row>
    <row r="690" spans="1:10">
      <c r="A690" s="12"/>
      <c r="B690" s="12"/>
      <c r="C690" s="13" t="s">
        <v>983</v>
      </c>
      <c r="D690" s="14" t="s">
        <v>11</v>
      </c>
      <c r="E690" s="14" t="s">
        <v>12</v>
      </c>
      <c r="F690" s="13" t="s">
        <v>15</v>
      </c>
      <c r="G690" s="12" t="s">
        <v>14</v>
      </c>
      <c r="H690" s="15"/>
      <c r="I690" s="15"/>
      <c r="J690" s="15">
        <f t="shared" si="14"/>
        <v>0</v>
      </c>
    </row>
    <row r="691" spans="1:10">
      <c r="A691" s="12"/>
      <c r="B691" s="12"/>
      <c r="C691" s="13" t="s">
        <v>983</v>
      </c>
      <c r="D691" s="14" t="s">
        <v>11</v>
      </c>
      <c r="E691" s="14" t="s">
        <v>12</v>
      </c>
      <c r="F691" s="13" t="s">
        <v>28</v>
      </c>
      <c r="G691" s="12" t="s">
        <v>14</v>
      </c>
      <c r="H691" s="15"/>
      <c r="I691" s="15"/>
      <c r="J691" s="15">
        <f t="shared" si="14"/>
        <v>0</v>
      </c>
    </row>
    <row r="692" spans="1:10">
      <c r="A692" s="12"/>
      <c r="B692" s="12"/>
      <c r="C692" s="13" t="s">
        <v>983</v>
      </c>
      <c r="D692" s="14" t="s">
        <v>20</v>
      </c>
      <c r="E692" s="14" t="s">
        <v>106</v>
      </c>
      <c r="F692" s="13" t="s">
        <v>107</v>
      </c>
      <c r="G692" s="12" t="s">
        <v>108</v>
      </c>
      <c r="H692" s="15"/>
      <c r="I692" s="15"/>
      <c r="J692" s="15">
        <f t="shared" si="14"/>
        <v>0</v>
      </c>
    </row>
    <row r="693" spans="1:10">
      <c r="A693" s="12"/>
      <c r="B693" s="12"/>
      <c r="C693" s="13" t="s">
        <v>983</v>
      </c>
      <c r="D693" s="14" t="s">
        <v>20</v>
      </c>
      <c r="E693" s="14" t="s">
        <v>596</v>
      </c>
      <c r="F693" s="13" t="s">
        <v>597</v>
      </c>
      <c r="G693" s="12" t="s">
        <v>46</v>
      </c>
      <c r="H693" s="15"/>
      <c r="I693" s="15"/>
      <c r="J693" s="15">
        <f t="shared" si="14"/>
        <v>0</v>
      </c>
    </row>
    <row r="694" spans="1:10">
      <c r="A694" s="12"/>
      <c r="B694" s="12"/>
      <c r="C694" s="13" t="s">
        <v>985</v>
      </c>
      <c r="D694" s="14" t="s">
        <v>11</v>
      </c>
      <c r="E694" s="14" t="s">
        <v>12</v>
      </c>
      <c r="F694" s="13" t="s">
        <v>13</v>
      </c>
      <c r="G694" s="12" t="s">
        <v>14</v>
      </c>
      <c r="H694" s="15"/>
      <c r="I694" s="15"/>
      <c r="J694" s="15">
        <f t="shared" si="14"/>
        <v>0</v>
      </c>
    </row>
    <row r="695" spans="1:10">
      <c r="A695" s="12"/>
      <c r="B695" s="12"/>
      <c r="C695" s="13" t="s">
        <v>985</v>
      </c>
      <c r="D695" s="14" t="s">
        <v>11</v>
      </c>
      <c r="E695" s="14" t="s">
        <v>12</v>
      </c>
      <c r="F695" s="13" t="s">
        <v>15</v>
      </c>
      <c r="G695" s="12" t="s">
        <v>14</v>
      </c>
      <c r="H695" s="15"/>
      <c r="I695" s="15"/>
      <c r="J695" s="15">
        <f t="shared" si="14"/>
        <v>0</v>
      </c>
    </row>
    <row r="696" spans="1:10">
      <c r="A696" s="12"/>
      <c r="B696" s="12"/>
      <c r="C696" s="13" t="s">
        <v>985</v>
      </c>
      <c r="D696" s="14" t="s">
        <v>11</v>
      </c>
      <c r="E696" s="14" t="s">
        <v>12</v>
      </c>
      <c r="F696" s="13" t="s">
        <v>28</v>
      </c>
      <c r="G696" s="12" t="s">
        <v>14</v>
      </c>
      <c r="H696" s="15"/>
      <c r="I696" s="15"/>
      <c r="J696" s="15">
        <f t="shared" si="14"/>
        <v>0</v>
      </c>
    </row>
    <row r="697" spans="1:10">
      <c r="A697" s="12"/>
      <c r="B697" s="12"/>
      <c r="C697" s="13" t="s">
        <v>985</v>
      </c>
      <c r="D697" s="14" t="s">
        <v>20</v>
      </c>
      <c r="E697" s="14" t="s">
        <v>106</v>
      </c>
      <c r="F697" s="13" t="s">
        <v>107</v>
      </c>
      <c r="G697" s="12" t="s">
        <v>108</v>
      </c>
      <c r="H697" s="15"/>
      <c r="I697" s="15"/>
      <c r="J697" s="15">
        <f t="shared" si="14"/>
        <v>0</v>
      </c>
    </row>
    <row r="698" spans="1:10">
      <c r="A698" s="12"/>
      <c r="B698" s="12"/>
      <c r="C698" s="13" t="s">
        <v>987</v>
      </c>
      <c r="D698" s="14" t="s">
        <v>11</v>
      </c>
      <c r="E698" s="14" t="s">
        <v>665</v>
      </c>
      <c r="F698" s="13" t="s">
        <v>666</v>
      </c>
      <c r="G698" s="12" t="s">
        <v>34</v>
      </c>
      <c r="H698" s="15"/>
      <c r="I698" s="15"/>
      <c r="J698" s="15">
        <f t="shared" si="14"/>
        <v>0</v>
      </c>
    </row>
    <row r="699" spans="1:10">
      <c r="A699" s="12"/>
      <c r="B699" s="12"/>
      <c r="C699" s="13" t="s">
        <v>987</v>
      </c>
      <c r="D699" s="14" t="s">
        <v>11</v>
      </c>
      <c r="E699" s="14" t="s">
        <v>12</v>
      </c>
      <c r="F699" s="13" t="s">
        <v>13</v>
      </c>
      <c r="G699" s="12" t="s">
        <v>14</v>
      </c>
      <c r="H699" s="15"/>
      <c r="I699" s="15"/>
      <c r="J699" s="15">
        <f t="shared" si="14"/>
        <v>0</v>
      </c>
    </row>
    <row r="700" spans="1:10">
      <c r="A700" s="12"/>
      <c r="B700" s="12"/>
      <c r="C700" s="13" t="s">
        <v>987</v>
      </c>
      <c r="D700" s="14" t="s">
        <v>11</v>
      </c>
      <c r="E700" s="14" t="s">
        <v>12</v>
      </c>
      <c r="F700" s="13" t="s">
        <v>15</v>
      </c>
      <c r="G700" s="12" t="s">
        <v>14</v>
      </c>
      <c r="H700" s="15"/>
      <c r="I700" s="15"/>
      <c r="J700" s="15">
        <f t="shared" si="14"/>
        <v>0</v>
      </c>
    </row>
    <row r="701" spans="1:10">
      <c r="A701" s="12"/>
      <c r="B701" s="12"/>
      <c r="C701" s="13" t="s">
        <v>987</v>
      </c>
      <c r="D701" s="14" t="s">
        <v>11</v>
      </c>
      <c r="E701" s="14" t="s">
        <v>12</v>
      </c>
      <c r="F701" s="13" t="s">
        <v>28</v>
      </c>
      <c r="G701" s="12" t="s">
        <v>14</v>
      </c>
      <c r="H701" s="15"/>
      <c r="I701" s="15"/>
      <c r="J701" s="15">
        <f t="shared" si="14"/>
        <v>0</v>
      </c>
    </row>
    <row r="702" ht="28.8" spans="1:10">
      <c r="A702" s="12"/>
      <c r="B702" s="12"/>
      <c r="C702" s="13" t="s">
        <v>987</v>
      </c>
      <c r="D702" s="14" t="s">
        <v>20</v>
      </c>
      <c r="E702" s="14" t="s">
        <v>59</v>
      </c>
      <c r="F702" s="13" t="s">
        <v>667</v>
      </c>
      <c r="G702" s="12" t="s">
        <v>49</v>
      </c>
      <c r="H702" s="15"/>
      <c r="I702" s="15"/>
      <c r="J702" s="15">
        <f t="shared" ref="J702:J765" si="15">+ROUND(PRODUCT(H702*I702),0)</f>
        <v>0</v>
      </c>
    </row>
    <row r="703" spans="1:10">
      <c r="A703" s="12"/>
      <c r="B703" s="12"/>
      <c r="C703" s="13" t="s">
        <v>987</v>
      </c>
      <c r="D703" s="14" t="s">
        <v>20</v>
      </c>
      <c r="E703" s="14" t="s">
        <v>59</v>
      </c>
      <c r="F703" s="13" t="s">
        <v>668</v>
      </c>
      <c r="G703" s="12" t="s">
        <v>49</v>
      </c>
      <c r="H703" s="15"/>
      <c r="I703" s="15"/>
      <c r="J703" s="15">
        <f t="shared" si="15"/>
        <v>0</v>
      </c>
    </row>
    <row r="704" spans="1:10">
      <c r="A704" s="12"/>
      <c r="B704" s="12"/>
      <c r="C704" s="13" t="s">
        <v>987</v>
      </c>
      <c r="D704" s="14" t="s">
        <v>20</v>
      </c>
      <c r="E704" s="14" t="s">
        <v>59</v>
      </c>
      <c r="F704" s="13" t="s">
        <v>60</v>
      </c>
      <c r="G704" s="12" t="s">
        <v>49</v>
      </c>
      <c r="H704" s="15"/>
      <c r="I704" s="15"/>
      <c r="J704" s="15">
        <f t="shared" si="15"/>
        <v>0</v>
      </c>
    </row>
    <row r="705" spans="1:10">
      <c r="A705" s="12"/>
      <c r="B705" s="12"/>
      <c r="C705" s="13" t="s">
        <v>987</v>
      </c>
      <c r="D705" s="14" t="s">
        <v>20</v>
      </c>
      <c r="E705" s="14" t="s">
        <v>59</v>
      </c>
      <c r="F705" s="13" t="s">
        <v>988</v>
      </c>
      <c r="G705" s="12" t="s">
        <v>49</v>
      </c>
      <c r="H705" s="15"/>
      <c r="I705" s="15"/>
      <c r="J705" s="15">
        <f t="shared" si="15"/>
        <v>0</v>
      </c>
    </row>
    <row r="706" spans="1:10">
      <c r="A706" s="12"/>
      <c r="B706" s="12"/>
      <c r="C706" s="13" t="s">
        <v>987</v>
      </c>
      <c r="D706" s="14" t="s">
        <v>20</v>
      </c>
      <c r="E706" s="14" t="s">
        <v>59</v>
      </c>
      <c r="F706" s="13" t="s">
        <v>989</v>
      </c>
      <c r="G706" s="12" t="s">
        <v>49</v>
      </c>
      <c r="H706" s="15"/>
      <c r="I706" s="15"/>
      <c r="J706" s="15">
        <f t="shared" si="15"/>
        <v>0</v>
      </c>
    </row>
    <row r="707" spans="1:10">
      <c r="A707" s="12"/>
      <c r="B707" s="12"/>
      <c r="C707" s="13" t="s">
        <v>987</v>
      </c>
      <c r="D707" s="14" t="s">
        <v>20</v>
      </c>
      <c r="E707" s="14" t="s">
        <v>106</v>
      </c>
      <c r="F707" s="13" t="s">
        <v>838</v>
      </c>
      <c r="G707" s="12" t="s">
        <v>108</v>
      </c>
      <c r="H707" s="15"/>
      <c r="I707" s="15"/>
      <c r="J707" s="15">
        <f t="shared" si="15"/>
        <v>0</v>
      </c>
    </row>
    <row r="708" spans="1:10">
      <c r="A708" s="12"/>
      <c r="B708" s="12"/>
      <c r="C708" s="13" t="s">
        <v>991</v>
      </c>
      <c r="D708" s="14" t="s">
        <v>11</v>
      </c>
      <c r="E708" s="14" t="s">
        <v>12</v>
      </c>
      <c r="F708" s="13" t="s">
        <v>13</v>
      </c>
      <c r="G708" s="12" t="s">
        <v>14</v>
      </c>
      <c r="H708" s="15"/>
      <c r="I708" s="15"/>
      <c r="J708" s="15">
        <f t="shared" si="15"/>
        <v>0</v>
      </c>
    </row>
    <row r="709" spans="1:10">
      <c r="A709" s="12"/>
      <c r="B709" s="12"/>
      <c r="C709" s="13" t="s">
        <v>991</v>
      </c>
      <c r="D709" s="14" t="s">
        <v>11</v>
      </c>
      <c r="E709" s="14" t="s">
        <v>12</v>
      </c>
      <c r="F709" s="13" t="s">
        <v>15</v>
      </c>
      <c r="G709" s="12" t="s">
        <v>14</v>
      </c>
      <c r="H709" s="15"/>
      <c r="I709" s="15"/>
      <c r="J709" s="15">
        <f t="shared" si="15"/>
        <v>0</v>
      </c>
    </row>
    <row r="710" spans="1:10">
      <c r="A710" s="12"/>
      <c r="B710" s="12"/>
      <c r="C710" s="13" t="s">
        <v>991</v>
      </c>
      <c r="D710" s="14" t="s">
        <v>11</v>
      </c>
      <c r="E710" s="14" t="s">
        <v>12</v>
      </c>
      <c r="F710" s="13" t="s">
        <v>28</v>
      </c>
      <c r="G710" s="12" t="s">
        <v>14</v>
      </c>
      <c r="H710" s="15"/>
      <c r="I710" s="15"/>
      <c r="J710" s="15">
        <f t="shared" si="15"/>
        <v>0</v>
      </c>
    </row>
    <row r="711" spans="1:10">
      <c r="A711" s="12"/>
      <c r="B711" s="12"/>
      <c r="C711" s="13" t="s">
        <v>991</v>
      </c>
      <c r="D711" s="14" t="s">
        <v>20</v>
      </c>
      <c r="E711" s="14" t="s">
        <v>59</v>
      </c>
      <c r="F711" s="13" t="s">
        <v>992</v>
      </c>
      <c r="G711" s="12" t="s">
        <v>49</v>
      </c>
      <c r="H711" s="15"/>
      <c r="I711" s="15"/>
      <c r="J711" s="15">
        <f t="shared" si="15"/>
        <v>0</v>
      </c>
    </row>
    <row r="712" ht="28.8" spans="1:10">
      <c r="A712" s="12"/>
      <c r="B712" s="12"/>
      <c r="C712" s="13" t="s">
        <v>991</v>
      </c>
      <c r="D712" s="14" t="s">
        <v>20</v>
      </c>
      <c r="E712" s="14" t="s">
        <v>59</v>
      </c>
      <c r="F712" s="13" t="s">
        <v>667</v>
      </c>
      <c r="G712" s="12" t="s">
        <v>49</v>
      </c>
      <c r="H712" s="15"/>
      <c r="I712" s="15"/>
      <c r="J712" s="15">
        <f t="shared" si="15"/>
        <v>0</v>
      </c>
    </row>
    <row r="713" spans="1:10">
      <c r="A713" s="12"/>
      <c r="B713" s="12"/>
      <c r="C713" s="13" t="s">
        <v>991</v>
      </c>
      <c r="D713" s="14" t="s">
        <v>20</v>
      </c>
      <c r="E713" s="14" t="s">
        <v>59</v>
      </c>
      <c r="F713" s="13" t="s">
        <v>668</v>
      </c>
      <c r="G713" s="12" t="s">
        <v>49</v>
      </c>
      <c r="H713" s="15"/>
      <c r="I713" s="15"/>
      <c r="J713" s="15">
        <f t="shared" si="15"/>
        <v>0</v>
      </c>
    </row>
    <row r="714" spans="1:10">
      <c r="A714" s="12"/>
      <c r="B714" s="12"/>
      <c r="C714" s="13" t="s">
        <v>991</v>
      </c>
      <c r="D714" s="14" t="s">
        <v>20</v>
      </c>
      <c r="E714" s="14" t="s">
        <v>59</v>
      </c>
      <c r="F714" s="13" t="s">
        <v>60</v>
      </c>
      <c r="G714" s="12" t="s">
        <v>49</v>
      </c>
      <c r="H714" s="15"/>
      <c r="I714" s="15"/>
      <c r="J714" s="15">
        <f t="shared" si="15"/>
        <v>0</v>
      </c>
    </row>
    <row r="715" spans="1:10">
      <c r="A715" s="12"/>
      <c r="B715" s="12"/>
      <c r="C715" s="13" t="s">
        <v>991</v>
      </c>
      <c r="D715" s="14" t="s">
        <v>20</v>
      </c>
      <c r="E715" s="14" t="s">
        <v>59</v>
      </c>
      <c r="F715" s="13" t="s">
        <v>988</v>
      </c>
      <c r="G715" s="12" t="s">
        <v>49</v>
      </c>
      <c r="H715" s="15"/>
      <c r="I715" s="15"/>
      <c r="J715" s="15">
        <f t="shared" si="15"/>
        <v>0</v>
      </c>
    </row>
    <row r="716" spans="1:10">
      <c r="A716" s="12"/>
      <c r="B716" s="12"/>
      <c r="C716" s="13" t="s">
        <v>991</v>
      </c>
      <c r="D716" s="14" t="s">
        <v>20</v>
      </c>
      <c r="E716" s="14" t="s">
        <v>59</v>
      </c>
      <c r="F716" s="13" t="s">
        <v>989</v>
      </c>
      <c r="G716" s="12" t="s">
        <v>49</v>
      </c>
      <c r="H716" s="15"/>
      <c r="I716" s="15"/>
      <c r="J716" s="15">
        <f t="shared" si="15"/>
        <v>0</v>
      </c>
    </row>
    <row r="717" spans="1:10">
      <c r="A717" s="12"/>
      <c r="B717" s="12"/>
      <c r="C717" s="13" t="s">
        <v>991</v>
      </c>
      <c r="D717" s="14" t="s">
        <v>20</v>
      </c>
      <c r="E717" s="14" t="s">
        <v>106</v>
      </c>
      <c r="F717" s="13" t="s">
        <v>873</v>
      </c>
      <c r="G717" s="12" t="s">
        <v>108</v>
      </c>
      <c r="H717" s="15"/>
      <c r="I717" s="15"/>
      <c r="J717" s="15">
        <f t="shared" si="15"/>
        <v>0</v>
      </c>
    </row>
    <row r="718" ht="28.8" spans="1:10">
      <c r="A718" s="12"/>
      <c r="B718" s="12"/>
      <c r="C718" s="13" t="s">
        <v>994</v>
      </c>
      <c r="D718" s="14" t="s">
        <v>11</v>
      </c>
      <c r="E718" s="14" t="s">
        <v>618</v>
      </c>
      <c r="F718" s="13" t="s">
        <v>619</v>
      </c>
      <c r="G718" s="12" t="s">
        <v>23</v>
      </c>
      <c r="H718" s="15"/>
      <c r="I718" s="15"/>
      <c r="J718" s="15">
        <f t="shared" si="15"/>
        <v>0</v>
      </c>
    </row>
    <row r="719" ht="28.8" spans="1:10">
      <c r="A719" s="12"/>
      <c r="B719" s="12"/>
      <c r="C719" s="13" t="s">
        <v>994</v>
      </c>
      <c r="D719" s="14" t="s">
        <v>11</v>
      </c>
      <c r="E719" s="14" t="s">
        <v>618</v>
      </c>
      <c r="F719" s="13" t="s">
        <v>620</v>
      </c>
      <c r="G719" s="12" t="s">
        <v>23</v>
      </c>
      <c r="H719" s="15"/>
      <c r="I719" s="15"/>
      <c r="J719" s="15">
        <f t="shared" si="15"/>
        <v>0</v>
      </c>
    </row>
    <row r="720" ht="28.8" spans="1:10">
      <c r="A720" s="12"/>
      <c r="B720" s="12"/>
      <c r="C720" s="13" t="s">
        <v>994</v>
      </c>
      <c r="D720" s="14" t="s">
        <v>11</v>
      </c>
      <c r="E720" s="14" t="s">
        <v>618</v>
      </c>
      <c r="F720" s="13" t="s">
        <v>621</v>
      </c>
      <c r="G720" s="12" t="s">
        <v>23</v>
      </c>
      <c r="H720" s="15"/>
      <c r="I720" s="15"/>
      <c r="J720" s="15">
        <f t="shared" si="15"/>
        <v>0</v>
      </c>
    </row>
    <row r="721" ht="28.8" spans="1:10">
      <c r="A721" s="12"/>
      <c r="B721" s="12"/>
      <c r="C721" s="13" t="s">
        <v>996</v>
      </c>
      <c r="D721" s="14" t="s">
        <v>11</v>
      </c>
      <c r="E721" s="14" t="s">
        <v>12</v>
      </c>
      <c r="F721" s="13" t="s">
        <v>13</v>
      </c>
      <c r="G721" s="12" t="s">
        <v>14</v>
      </c>
      <c r="H721" s="15"/>
      <c r="I721" s="15"/>
      <c r="J721" s="15">
        <f t="shared" si="15"/>
        <v>0</v>
      </c>
    </row>
    <row r="722" ht="28.8" spans="1:10">
      <c r="A722" s="12"/>
      <c r="B722" s="12"/>
      <c r="C722" s="13" t="s">
        <v>996</v>
      </c>
      <c r="D722" s="14" t="s">
        <v>20</v>
      </c>
      <c r="E722" s="14" t="s">
        <v>576</v>
      </c>
      <c r="F722" s="13" t="s">
        <v>918</v>
      </c>
      <c r="G722" s="12" t="s">
        <v>100</v>
      </c>
      <c r="H722" s="15"/>
      <c r="I722" s="15"/>
      <c r="J722" s="15">
        <f t="shared" si="15"/>
        <v>0</v>
      </c>
    </row>
    <row r="723" ht="28.8" spans="1:10">
      <c r="A723" s="12"/>
      <c r="B723" s="12"/>
      <c r="C723" s="13" t="s">
        <v>996</v>
      </c>
      <c r="D723" s="14" t="s">
        <v>20</v>
      </c>
      <c r="E723" s="14" t="s">
        <v>112</v>
      </c>
      <c r="F723" s="13" t="s">
        <v>113</v>
      </c>
      <c r="G723" s="12" t="s">
        <v>46</v>
      </c>
      <c r="H723" s="15"/>
      <c r="I723" s="15"/>
      <c r="J723" s="15">
        <f t="shared" si="15"/>
        <v>0</v>
      </c>
    </row>
    <row r="724" spans="1:10">
      <c r="A724" s="12"/>
      <c r="B724" s="12"/>
      <c r="C724" s="13" t="s">
        <v>998</v>
      </c>
      <c r="D724" s="14" t="s">
        <v>20</v>
      </c>
      <c r="E724" s="14" t="s">
        <v>102</v>
      </c>
      <c r="F724" s="13" t="s">
        <v>103</v>
      </c>
      <c r="G724" s="12" t="s">
        <v>46</v>
      </c>
      <c r="H724" s="15"/>
      <c r="I724" s="15"/>
      <c r="J724" s="15">
        <f t="shared" si="15"/>
        <v>0</v>
      </c>
    </row>
    <row r="725" spans="1:10">
      <c r="A725" s="12"/>
      <c r="B725" s="12"/>
      <c r="C725" s="13" t="s">
        <v>998</v>
      </c>
      <c r="D725" s="14" t="s">
        <v>20</v>
      </c>
      <c r="E725" s="14" t="s">
        <v>596</v>
      </c>
      <c r="F725" s="13" t="s">
        <v>597</v>
      </c>
      <c r="G725" s="12" t="s">
        <v>46</v>
      </c>
      <c r="H725" s="15"/>
      <c r="I725" s="15"/>
      <c r="J725" s="15">
        <f t="shared" si="15"/>
        <v>0</v>
      </c>
    </row>
    <row r="726" spans="1:10">
      <c r="A726" s="12"/>
      <c r="B726" s="12"/>
      <c r="C726" s="13" t="s">
        <v>998</v>
      </c>
      <c r="D726" s="14" t="s">
        <v>11</v>
      </c>
      <c r="E726" s="14" t="s">
        <v>598</v>
      </c>
      <c r="F726" s="13" t="s">
        <v>599</v>
      </c>
      <c r="G726" s="12" t="s">
        <v>34</v>
      </c>
      <c r="H726" s="15"/>
      <c r="I726" s="15"/>
      <c r="J726" s="15">
        <f t="shared" si="15"/>
        <v>0</v>
      </c>
    </row>
    <row r="727" spans="1:10">
      <c r="A727" s="12"/>
      <c r="B727" s="12"/>
      <c r="C727" s="13" t="s">
        <v>998</v>
      </c>
      <c r="D727" s="14" t="s">
        <v>20</v>
      </c>
      <c r="E727" s="14" t="s">
        <v>600</v>
      </c>
      <c r="F727" s="13" t="s">
        <v>601</v>
      </c>
      <c r="G727" s="12" t="s">
        <v>63</v>
      </c>
      <c r="H727" s="15"/>
      <c r="I727" s="15"/>
      <c r="J727" s="15">
        <f t="shared" si="15"/>
        <v>0</v>
      </c>
    </row>
    <row r="728" ht="28.8" spans="1:10">
      <c r="A728" s="12"/>
      <c r="B728" s="12"/>
      <c r="C728" s="13" t="s">
        <v>1000</v>
      </c>
      <c r="D728" s="14" t="s">
        <v>11</v>
      </c>
      <c r="E728" s="14" t="s">
        <v>24</v>
      </c>
      <c r="F728" s="13" t="s">
        <v>604</v>
      </c>
      <c r="G728" s="12" t="s">
        <v>34</v>
      </c>
      <c r="H728" s="15"/>
      <c r="I728" s="15"/>
      <c r="J728" s="15">
        <f t="shared" si="15"/>
        <v>0</v>
      </c>
    </row>
    <row r="729" ht="28.8" spans="1:10">
      <c r="A729" s="12"/>
      <c r="B729" s="12"/>
      <c r="C729" s="13" t="s">
        <v>1000</v>
      </c>
      <c r="D729" s="14" t="s">
        <v>11</v>
      </c>
      <c r="E729" s="14" t="s">
        <v>24</v>
      </c>
      <c r="F729" s="13" t="s">
        <v>605</v>
      </c>
      <c r="G729" s="12" t="s">
        <v>34</v>
      </c>
      <c r="H729" s="15"/>
      <c r="I729" s="15"/>
      <c r="J729" s="15">
        <f t="shared" si="15"/>
        <v>0</v>
      </c>
    </row>
    <row r="730" ht="28.8" spans="1:10">
      <c r="A730" s="12"/>
      <c r="B730" s="12"/>
      <c r="C730" s="13" t="s">
        <v>1000</v>
      </c>
      <c r="D730" s="14" t="s">
        <v>11</v>
      </c>
      <c r="E730" s="14" t="s">
        <v>24</v>
      </c>
      <c r="F730" s="13" t="s">
        <v>606</v>
      </c>
      <c r="G730" s="12" t="s">
        <v>34</v>
      </c>
      <c r="H730" s="15"/>
      <c r="I730" s="15"/>
      <c r="J730" s="15">
        <f t="shared" si="15"/>
        <v>0</v>
      </c>
    </row>
    <row r="731" ht="28.8" spans="1:10">
      <c r="A731" s="12"/>
      <c r="B731" s="12"/>
      <c r="C731" s="13" t="s">
        <v>1000</v>
      </c>
      <c r="D731" s="14" t="s">
        <v>20</v>
      </c>
      <c r="E731" s="14" t="s">
        <v>47</v>
      </c>
      <c r="F731" s="13" t="s">
        <v>48</v>
      </c>
      <c r="G731" s="12" t="s">
        <v>49</v>
      </c>
      <c r="H731" s="15"/>
      <c r="I731" s="15"/>
      <c r="J731" s="15">
        <f t="shared" si="15"/>
        <v>0</v>
      </c>
    </row>
    <row r="732" ht="28.8" spans="1:10">
      <c r="A732" s="12"/>
      <c r="B732" s="12"/>
      <c r="C732" s="13" t="s">
        <v>1000</v>
      </c>
      <c r="D732" s="14" t="s">
        <v>20</v>
      </c>
      <c r="E732" s="14" t="s">
        <v>47</v>
      </c>
      <c r="F732" s="13" t="s">
        <v>50</v>
      </c>
      <c r="G732" s="12" t="s">
        <v>49</v>
      </c>
      <c r="H732" s="15"/>
      <c r="I732" s="15"/>
      <c r="J732" s="15">
        <f t="shared" si="15"/>
        <v>0</v>
      </c>
    </row>
    <row r="733" ht="28.8" spans="1:10">
      <c r="A733" s="12"/>
      <c r="B733" s="12"/>
      <c r="C733" s="13" t="s">
        <v>1000</v>
      </c>
      <c r="D733" s="14" t="s">
        <v>20</v>
      </c>
      <c r="E733" s="14" t="s">
        <v>61</v>
      </c>
      <c r="F733" s="13" t="s">
        <v>78</v>
      </c>
      <c r="G733" s="12" t="s">
        <v>49</v>
      </c>
      <c r="H733" s="15"/>
      <c r="I733" s="15"/>
      <c r="J733" s="15">
        <f t="shared" si="15"/>
        <v>0</v>
      </c>
    </row>
    <row r="734" ht="28.8" spans="1:10">
      <c r="A734" s="12"/>
      <c r="B734" s="12"/>
      <c r="C734" s="13" t="s">
        <v>1000</v>
      </c>
      <c r="D734" s="14" t="s">
        <v>20</v>
      </c>
      <c r="E734" s="14" t="s">
        <v>61</v>
      </c>
      <c r="F734" s="13" t="s">
        <v>607</v>
      </c>
      <c r="G734" s="12" t="s">
        <v>23</v>
      </c>
      <c r="H734" s="15"/>
      <c r="I734" s="15"/>
      <c r="J734" s="15">
        <f t="shared" si="15"/>
        <v>0</v>
      </c>
    </row>
    <row r="735" ht="28.8" spans="1:10">
      <c r="A735" s="12"/>
      <c r="B735" s="12"/>
      <c r="C735" s="13" t="s">
        <v>1000</v>
      </c>
      <c r="D735" s="14" t="s">
        <v>20</v>
      </c>
      <c r="E735" s="14" t="s">
        <v>84</v>
      </c>
      <c r="F735" s="13" t="s">
        <v>86</v>
      </c>
      <c r="G735" s="12" t="s">
        <v>49</v>
      </c>
      <c r="H735" s="15"/>
      <c r="I735" s="15"/>
      <c r="J735" s="15">
        <f t="shared" si="15"/>
        <v>0</v>
      </c>
    </row>
    <row r="736" ht="28.8" spans="1:10">
      <c r="A736" s="12"/>
      <c r="B736" s="12"/>
      <c r="C736" s="13" t="s">
        <v>1000</v>
      </c>
      <c r="D736" s="14" t="s">
        <v>20</v>
      </c>
      <c r="E736" s="14" t="s">
        <v>84</v>
      </c>
      <c r="F736" s="13" t="s">
        <v>87</v>
      </c>
      <c r="G736" s="12" t="s">
        <v>49</v>
      </c>
      <c r="H736" s="15"/>
      <c r="I736" s="15"/>
      <c r="J736" s="15">
        <f t="shared" si="15"/>
        <v>0</v>
      </c>
    </row>
    <row r="737" ht="28.8" spans="1:10">
      <c r="A737" s="12"/>
      <c r="B737" s="12"/>
      <c r="C737" s="13" t="s">
        <v>1000</v>
      </c>
      <c r="D737" s="14" t="s">
        <v>20</v>
      </c>
      <c r="E737" s="14" t="s">
        <v>84</v>
      </c>
      <c r="F737" s="13" t="s">
        <v>608</v>
      </c>
      <c r="G737" s="12" t="s">
        <v>100</v>
      </c>
      <c r="H737" s="15"/>
      <c r="I737" s="15"/>
      <c r="J737" s="15">
        <f t="shared" si="15"/>
        <v>0</v>
      </c>
    </row>
    <row r="738" ht="28.8" spans="1:10">
      <c r="A738" s="12"/>
      <c r="B738" s="12"/>
      <c r="C738" s="13" t="s">
        <v>1000</v>
      </c>
      <c r="D738" s="14" t="s">
        <v>20</v>
      </c>
      <c r="E738" s="14" t="s">
        <v>84</v>
      </c>
      <c r="F738" s="13" t="s">
        <v>956</v>
      </c>
      <c r="G738" s="12" t="s">
        <v>611</v>
      </c>
      <c r="H738" s="15"/>
      <c r="I738" s="15"/>
      <c r="J738" s="15">
        <f t="shared" si="15"/>
        <v>0</v>
      </c>
    </row>
    <row r="739" ht="28.8" spans="1:10">
      <c r="A739" s="12"/>
      <c r="B739" s="12"/>
      <c r="C739" s="13" t="s">
        <v>1000</v>
      </c>
      <c r="D739" s="14" t="s">
        <v>20</v>
      </c>
      <c r="E739" s="14" t="s">
        <v>84</v>
      </c>
      <c r="F739" s="13" t="s">
        <v>683</v>
      </c>
      <c r="G739" s="12" t="s">
        <v>611</v>
      </c>
      <c r="H739" s="15"/>
      <c r="I739" s="15"/>
      <c r="J739" s="15">
        <f t="shared" si="15"/>
        <v>0</v>
      </c>
    </row>
    <row r="740" ht="28.8" spans="1:10">
      <c r="A740" s="12"/>
      <c r="B740" s="12"/>
      <c r="C740" s="13" t="s">
        <v>1000</v>
      </c>
      <c r="D740" s="14" t="s">
        <v>20</v>
      </c>
      <c r="E740" s="14" t="s">
        <v>84</v>
      </c>
      <c r="F740" s="13" t="s">
        <v>610</v>
      </c>
      <c r="G740" s="12" t="s">
        <v>611</v>
      </c>
      <c r="H740" s="15"/>
      <c r="I740" s="15"/>
      <c r="J740" s="15">
        <f t="shared" si="15"/>
        <v>0</v>
      </c>
    </row>
    <row r="741" ht="28.8" spans="1:10">
      <c r="A741" s="12"/>
      <c r="B741" s="12"/>
      <c r="C741" s="13" t="s">
        <v>1000</v>
      </c>
      <c r="D741" s="14" t="s">
        <v>20</v>
      </c>
      <c r="E741" s="14" t="s">
        <v>84</v>
      </c>
      <c r="F741" s="13" t="s">
        <v>612</v>
      </c>
      <c r="G741" s="12" t="s">
        <v>611</v>
      </c>
      <c r="H741" s="15"/>
      <c r="I741" s="15"/>
      <c r="J741" s="15">
        <f t="shared" si="15"/>
        <v>0</v>
      </c>
    </row>
    <row r="742" ht="28.8" spans="1:10">
      <c r="A742" s="12"/>
      <c r="B742" s="12"/>
      <c r="C742" s="13" t="s">
        <v>1000</v>
      </c>
      <c r="D742" s="14" t="s">
        <v>20</v>
      </c>
      <c r="E742" s="14" t="s">
        <v>84</v>
      </c>
      <c r="F742" s="13" t="s">
        <v>684</v>
      </c>
      <c r="G742" s="12" t="s">
        <v>23</v>
      </c>
      <c r="H742" s="15"/>
      <c r="I742" s="15"/>
      <c r="J742" s="15">
        <f t="shared" si="15"/>
        <v>0</v>
      </c>
    </row>
    <row r="743" ht="28.8" spans="1:10">
      <c r="A743" s="12"/>
      <c r="B743" s="12"/>
      <c r="C743" s="13" t="s">
        <v>1000</v>
      </c>
      <c r="D743" s="14" t="s">
        <v>20</v>
      </c>
      <c r="E743" s="14" t="s">
        <v>624</v>
      </c>
      <c r="F743" s="13" t="s">
        <v>957</v>
      </c>
      <c r="G743" s="12" t="s">
        <v>23</v>
      </c>
      <c r="H743" s="15"/>
      <c r="I743" s="15"/>
      <c r="J743" s="15">
        <f t="shared" si="15"/>
        <v>0</v>
      </c>
    </row>
    <row r="744" ht="28.8" spans="1:10">
      <c r="A744" s="12"/>
      <c r="B744" s="12"/>
      <c r="C744" s="13" t="s">
        <v>1000</v>
      </c>
      <c r="D744" s="14" t="s">
        <v>20</v>
      </c>
      <c r="E744" s="14" t="s">
        <v>624</v>
      </c>
      <c r="F744" s="13" t="s">
        <v>958</v>
      </c>
      <c r="G744" s="12" t="s">
        <v>23</v>
      </c>
      <c r="H744" s="15"/>
      <c r="I744" s="15"/>
      <c r="J744" s="15">
        <f t="shared" si="15"/>
        <v>0</v>
      </c>
    </row>
    <row r="745" ht="28.8" spans="1:10">
      <c r="A745" s="12"/>
      <c r="B745" s="12"/>
      <c r="C745" s="13" t="s">
        <v>1000</v>
      </c>
      <c r="D745" s="14" t="s">
        <v>20</v>
      </c>
      <c r="E745" s="14" t="s">
        <v>624</v>
      </c>
      <c r="F745" s="13" t="s">
        <v>959</v>
      </c>
      <c r="G745" s="12" t="s">
        <v>23</v>
      </c>
      <c r="H745" s="15"/>
      <c r="I745" s="15"/>
      <c r="J745" s="15">
        <f t="shared" si="15"/>
        <v>0</v>
      </c>
    </row>
    <row r="746" ht="28.8" spans="1:10">
      <c r="A746" s="12"/>
      <c r="B746" s="12"/>
      <c r="C746" s="13" t="s">
        <v>1000</v>
      </c>
      <c r="D746" s="14" t="s">
        <v>20</v>
      </c>
      <c r="E746" s="14" t="s">
        <v>624</v>
      </c>
      <c r="F746" s="13" t="s">
        <v>629</v>
      </c>
      <c r="G746" s="12" t="s">
        <v>23</v>
      </c>
      <c r="H746" s="15"/>
      <c r="I746" s="15"/>
      <c r="J746" s="15">
        <f t="shared" si="15"/>
        <v>0</v>
      </c>
    </row>
    <row r="747" ht="28.8" spans="1:10">
      <c r="A747" s="12"/>
      <c r="B747" s="12"/>
      <c r="C747" s="13" t="s">
        <v>1000</v>
      </c>
      <c r="D747" s="14" t="s">
        <v>20</v>
      </c>
      <c r="E747" s="14" t="s">
        <v>337</v>
      </c>
      <c r="F747" s="13" t="s">
        <v>960</v>
      </c>
      <c r="G747" s="12" t="s">
        <v>23</v>
      </c>
      <c r="H747" s="15"/>
      <c r="I747" s="15"/>
      <c r="J747" s="15">
        <f t="shared" si="15"/>
        <v>0</v>
      </c>
    </row>
    <row r="748" ht="28.8" spans="1:10">
      <c r="A748" s="12"/>
      <c r="B748" s="12"/>
      <c r="C748" s="13" t="s">
        <v>1000</v>
      </c>
      <c r="D748" s="14" t="s">
        <v>20</v>
      </c>
      <c r="E748" s="14" t="s">
        <v>337</v>
      </c>
      <c r="F748" s="13" t="s">
        <v>961</v>
      </c>
      <c r="G748" s="12" t="s">
        <v>23</v>
      </c>
      <c r="H748" s="15"/>
      <c r="I748" s="15"/>
      <c r="J748" s="15">
        <f t="shared" si="15"/>
        <v>0</v>
      </c>
    </row>
    <row r="749" ht="28.8" spans="1:10">
      <c r="A749" s="12"/>
      <c r="B749" s="12"/>
      <c r="C749" s="13" t="s">
        <v>1000</v>
      </c>
      <c r="D749" s="14" t="s">
        <v>20</v>
      </c>
      <c r="E749" s="14" t="s">
        <v>337</v>
      </c>
      <c r="F749" s="13" t="s">
        <v>962</v>
      </c>
      <c r="G749" s="12" t="s">
        <v>42</v>
      </c>
      <c r="H749" s="15"/>
      <c r="I749" s="15"/>
      <c r="J749" s="15">
        <f t="shared" si="15"/>
        <v>0</v>
      </c>
    </row>
    <row r="750" ht="28.8" spans="1:10">
      <c r="A750" s="12"/>
      <c r="B750" s="12"/>
      <c r="C750" s="13" t="s">
        <v>1000</v>
      </c>
      <c r="D750" s="14" t="s">
        <v>20</v>
      </c>
      <c r="E750" s="14" t="s">
        <v>337</v>
      </c>
      <c r="F750" s="13" t="s">
        <v>963</v>
      </c>
      <c r="G750" s="12" t="s">
        <v>23</v>
      </c>
      <c r="H750" s="15"/>
      <c r="I750" s="15"/>
      <c r="J750" s="15">
        <f t="shared" si="15"/>
        <v>0</v>
      </c>
    </row>
    <row r="751" ht="28.8" spans="1:10">
      <c r="A751" s="12"/>
      <c r="B751" s="12"/>
      <c r="C751" s="13" t="s">
        <v>1000</v>
      </c>
      <c r="D751" s="14" t="s">
        <v>20</v>
      </c>
      <c r="E751" s="14" t="s">
        <v>337</v>
      </c>
      <c r="F751" s="13" t="s">
        <v>964</v>
      </c>
      <c r="G751" s="12" t="s">
        <v>23</v>
      </c>
      <c r="H751" s="15"/>
      <c r="I751" s="15"/>
      <c r="J751" s="15">
        <f t="shared" si="15"/>
        <v>0</v>
      </c>
    </row>
    <row r="752" ht="28.8" spans="1:10">
      <c r="A752" s="12"/>
      <c r="B752" s="12"/>
      <c r="C752" s="13" t="s">
        <v>1000</v>
      </c>
      <c r="D752" s="14" t="s">
        <v>20</v>
      </c>
      <c r="E752" s="14" t="s">
        <v>114</v>
      </c>
      <c r="F752" s="13" t="s">
        <v>965</v>
      </c>
      <c r="G752" s="12" t="s">
        <v>49</v>
      </c>
      <c r="H752" s="15"/>
      <c r="I752" s="15"/>
      <c r="J752" s="15">
        <f t="shared" si="15"/>
        <v>0</v>
      </c>
    </row>
    <row r="753" ht="28.8" spans="1:10">
      <c r="A753" s="12"/>
      <c r="B753" s="12"/>
      <c r="C753" s="13" t="s">
        <v>1000</v>
      </c>
      <c r="D753" s="14" t="s">
        <v>20</v>
      </c>
      <c r="E753" s="14" t="s">
        <v>114</v>
      </c>
      <c r="F753" s="13" t="s">
        <v>121</v>
      </c>
      <c r="G753" s="12" t="s">
        <v>49</v>
      </c>
      <c r="H753" s="15"/>
      <c r="I753" s="15"/>
      <c r="J753" s="15">
        <f t="shared" si="15"/>
        <v>0</v>
      </c>
    </row>
    <row r="754" ht="28.8" spans="1:10">
      <c r="A754" s="12"/>
      <c r="B754" s="12"/>
      <c r="C754" s="13" t="s">
        <v>1000</v>
      </c>
      <c r="D754" s="14" t="s">
        <v>11</v>
      </c>
      <c r="E754" s="14" t="s">
        <v>613</v>
      </c>
      <c r="F754" s="13" t="s">
        <v>614</v>
      </c>
      <c r="G754" s="12" t="s">
        <v>108</v>
      </c>
      <c r="H754" s="15"/>
      <c r="I754" s="15"/>
      <c r="J754" s="15">
        <f t="shared" si="15"/>
        <v>0</v>
      </c>
    </row>
    <row r="755" ht="28.8" spans="1:10">
      <c r="A755" s="12"/>
      <c r="B755" s="12"/>
      <c r="C755" s="13" t="s">
        <v>1000</v>
      </c>
      <c r="D755" s="14" t="s">
        <v>11</v>
      </c>
      <c r="E755" s="14" t="s">
        <v>613</v>
      </c>
      <c r="F755" s="13" t="s">
        <v>615</v>
      </c>
      <c r="G755" s="12" t="s">
        <v>108</v>
      </c>
      <c r="H755" s="15"/>
      <c r="I755" s="15"/>
      <c r="J755" s="15">
        <f t="shared" si="15"/>
        <v>0</v>
      </c>
    </row>
    <row r="756" ht="28.8" spans="1:10">
      <c r="A756" s="12"/>
      <c r="B756" s="12"/>
      <c r="C756" s="13" t="s">
        <v>1002</v>
      </c>
      <c r="D756" s="14" t="s">
        <v>20</v>
      </c>
      <c r="E756" s="14" t="s">
        <v>47</v>
      </c>
      <c r="F756" s="13" t="s">
        <v>48</v>
      </c>
      <c r="G756" s="12" t="s">
        <v>49</v>
      </c>
      <c r="H756" s="15"/>
      <c r="I756" s="15"/>
      <c r="J756" s="15">
        <f t="shared" si="15"/>
        <v>0</v>
      </c>
    </row>
    <row r="757" ht="28.8" spans="1:10">
      <c r="A757" s="12"/>
      <c r="B757" s="12"/>
      <c r="C757" s="13" t="s">
        <v>1002</v>
      </c>
      <c r="D757" s="14" t="s">
        <v>20</v>
      </c>
      <c r="E757" s="14" t="s">
        <v>624</v>
      </c>
      <c r="F757" s="13" t="s">
        <v>625</v>
      </c>
      <c r="G757" s="12" t="s">
        <v>23</v>
      </c>
      <c r="H757" s="15"/>
      <c r="I757" s="15"/>
      <c r="J757" s="15">
        <f t="shared" si="15"/>
        <v>0</v>
      </c>
    </row>
    <row r="758" ht="28.8" spans="1:10">
      <c r="A758" s="12"/>
      <c r="B758" s="12"/>
      <c r="C758" s="13" t="s">
        <v>1002</v>
      </c>
      <c r="D758" s="14" t="s">
        <v>20</v>
      </c>
      <c r="E758" s="14" t="s">
        <v>624</v>
      </c>
      <c r="F758" s="13" t="s">
        <v>626</v>
      </c>
      <c r="G758" s="12" t="s">
        <v>23</v>
      </c>
      <c r="H758" s="15"/>
      <c r="I758" s="15"/>
      <c r="J758" s="15">
        <f t="shared" si="15"/>
        <v>0</v>
      </c>
    </row>
    <row r="759" ht="28.8" spans="1:10">
      <c r="A759" s="12"/>
      <c r="B759" s="12"/>
      <c r="C759" s="13" t="s">
        <v>1002</v>
      </c>
      <c r="D759" s="14" t="s">
        <v>20</v>
      </c>
      <c r="E759" s="14" t="s">
        <v>624</v>
      </c>
      <c r="F759" s="13" t="s">
        <v>627</v>
      </c>
      <c r="G759" s="12" t="s">
        <v>23</v>
      </c>
      <c r="H759" s="15"/>
      <c r="I759" s="15"/>
      <c r="J759" s="15">
        <f t="shared" si="15"/>
        <v>0</v>
      </c>
    </row>
    <row r="760" ht="28.8" spans="1:10">
      <c r="A760" s="12"/>
      <c r="B760" s="12"/>
      <c r="C760" s="13" t="s">
        <v>1002</v>
      </c>
      <c r="D760" s="14" t="s">
        <v>20</v>
      </c>
      <c r="E760" s="14" t="s">
        <v>624</v>
      </c>
      <c r="F760" s="13" t="s">
        <v>628</v>
      </c>
      <c r="G760" s="12" t="s">
        <v>23</v>
      </c>
      <c r="H760" s="15"/>
      <c r="I760" s="15"/>
      <c r="J760" s="15">
        <f t="shared" si="15"/>
        <v>0</v>
      </c>
    </row>
    <row r="761" ht="28.8" spans="1:10">
      <c r="A761" s="12"/>
      <c r="B761" s="12"/>
      <c r="C761" s="13" t="s">
        <v>1002</v>
      </c>
      <c r="D761" s="14" t="s">
        <v>20</v>
      </c>
      <c r="E761" s="14" t="s">
        <v>624</v>
      </c>
      <c r="F761" s="13" t="s">
        <v>629</v>
      </c>
      <c r="G761" s="12" t="s">
        <v>23</v>
      </c>
      <c r="H761" s="15"/>
      <c r="I761" s="15"/>
      <c r="J761" s="15">
        <f t="shared" si="15"/>
        <v>0</v>
      </c>
    </row>
    <row r="762" ht="28.8" spans="1:10">
      <c r="A762" s="12"/>
      <c r="B762" s="12"/>
      <c r="C762" s="13" t="s">
        <v>1002</v>
      </c>
      <c r="D762" s="14" t="s">
        <v>11</v>
      </c>
      <c r="E762" s="14" t="s">
        <v>630</v>
      </c>
      <c r="F762" s="13" t="s">
        <v>631</v>
      </c>
      <c r="G762" s="12" t="s">
        <v>17</v>
      </c>
      <c r="H762" s="15"/>
      <c r="I762" s="15"/>
      <c r="J762" s="15">
        <f t="shared" si="15"/>
        <v>0</v>
      </c>
    </row>
    <row r="763" ht="28.8" spans="1:10">
      <c r="A763" s="12"/>
      <c r="B763" s="12"/>
      <c r="C763" s="13" t="s">
        <v>1004</v>
      </c>
      <c r="D763" s="14" t="s">
        <v>11</v>
      </c>
      <c r="E763" s="14" t="s">
        <v>634</v>
      </c>
      <c r="F763" s="13" t="s">
        <v>635</v>
      </c>
      <c r="G763" s="12" t="s">
        <v>23</v>
      </c>
      <c r="H763" s="15"/>
      <c r="I763" s="15"/>
      <c r="J763" s="15">
        <f t="shared" si="15"/>
        <v>0</v>
      </c>
    </row>
    <row r="764" ht="28.8" spans="1:10">
      <c r="A764" s="12"/>
      <c r="B764" s="12"/>
      <c r="C764" s="13" t="s">
        <v>1004</v>
      </c>
      <c r="D764" s="14" t="s">
        <v>20</v>
      </c>
      <c r="E764" s="14" t="s">
        <v>636</v>
      </c>
      <c r="F764" s="13" t="s">
        <v>637</v>
      </c>
      <c r="G764" s="12" t="s">
        <v>23</v>
      </c>
      <c r="H764" s="15"/>
      <c r="I764" s="15"/>
      <c r="J764" s="15">
        <f t="shared" si="15"/>
        <v>0</v>
      </c>
    </row>
    <row r="765" ht="28.8" spans="1:10">
      <c r="A765" s="12"/>
      <c r="B765" s="12"/>
      <c r="C765" s="13" t="s">
        <v>1006</v>
      </c>
      <c r="D765" s="14" t="s">
        <v>11</v>
      </c>
      <c r="E765" s="14" t="s">
        <v>634</v>
      </c>
      <c r="F765" s="13" t="s">
        <v>640</v>
      </c>
      <c r="G765" s="12" t="s">
        <v>23</v>
      </c>
      <c r="H765" s="15"/>
      <c r="I765" s="15"/>
      <c r="J765" s="15">
        <f t="shared" si="15"/>
        <v>0</v>
      </c>
    </row>
    <row r="766" ht="28.8" spans="1:10">
      <c r="A766" s="12"/>
      <c r="B766" s="12"/>
      <c r="C766" s="13" t="s">
        <v>1006</v>
      </c>
      <c r="D766" s="14" t="s">
        <v>20</v>
      </c>
      <c r="E766" s="14" t="s">
        <v>636</v>
      </c>
      <c r="F766" s="13" t="s">
        <v>641</v>
      </c>
      <c r="G766" s="12" t="s">
        <v>23</v>
      </c>
      <c r="H766" s="15"/>
      <c r="I766" s="15"/>
      <c r="J766" s="15">
        <f t="shared" ref="J766:J829" si="16">+ROUND(PRODUCT(H766*I766),0)</f>
        <v>0</v>
      </c>
    </row>
    <row r="767" ht="28.8" spans="1:10">
      <c r="A767" s="12"/>
      <c r="B767" s="12"/>
      <c r="C767" s="13" t="s">
        <v>1008</v>
      </c>
      <c r="D767" s="14" t="s">
        <v>11</v>
      </c>
      <c r="E767" s="14" t="s">
        <v>634</v>
      </c>
      <c r="F767" s="13" t="s">
        <v>650</v>
      </c>
      <c r="G767" s="12" t="s">
        <v>23</v>
      </c>
      <c r="H767" s="15"/>
      <c r="I767" s="15"/>
      <c r="J767" s="15">
        <f t="shared" si="16"/>
        <v>0</v>
      </c>
    </row>
    <row r="768" ht="28.8" spans="1:10">
      <c r="A768" s="12"/>
      <c r="B768" s="12"/>
      <c r="C768" s="13" t="s">
        <v>1008</v>
      </c>
      <c r="D768" s="14" t="s">
        <v>20</v>
      </c>
      <c r="E768" s="14" t="s">
        <v>636</v>
      </c>
      <c r="F768" s="13" t="s">
        <v>644</v>
      </c>
      <c r="G768" s="12" t="s">
        <v>23</v>
      </c>
      <c r="H768" s="15"/>
      <c r="I768" s="15"/>
      <c r="J768" s="15">
        <f t="shared" si="16"/>
        <v>0</v>
      </c>
    </row>
    <row r="769" ht="28.8" spans="1:10">
      <c r="A769" s="12"/>
      <c r="B769" s="12"/>
      <c r="C769" s="13" t="s">
        <v>1010</v>
      </c>
      <c r="D769" s="14" t="s">
        <v>11</v>
      </c>
      <c r="E769" s="14" t="s">
        <v>634</v>
      </c>
      <c r="F769" s="13" t="s">
        <v>635</v>
      </c>
      <c r="G769" s="12" t="s">
        <v>23</v>
      </c>
      <c r="H769" s="15"/>
      <c r="I769" s="15"/>
      <c r="J769" s="15">
        <f t="shared" si="16"/>
        <v>0</v>
      </c>
    </row>
    <row r="770" ht="28.8" spans="1:10">
      <c r="A770" s="12"/>
      <c r="B770" s="12"/>
      <c r="C770" s="13" t="s">
        <v>1010</v>
      </c>
      <c r="D770" s="14" t="s">
        <v>11</v>
      </c>
      <c r="E770" s="14" t="s">
        <v>634</v>
      </c>
      <c r="F770" s="13" t="s">
        <v>640</v>
      </c>
      <c r="G770" s="12" t="s">
        <v>23</v>
      </c>
      <c r="H770" s="15"/>
      <c r="I770" s="15"/>
      <c r="J770" s="15">
        <f t="shared" si="16"/>
        <v>0</v>
      </c>
    </row>
    <row r="771" ht="28.8" spans="1:10">
      <c r="A771" s="12"/>
      <c r="B771" s="12"/>
      <c r="C771" s="13" t="s">
        <v>1010</v>
      </c>
      <c r="D771" s="14" t="s">
        <v>20</v>
      </c>
      <c r="E771" s="14" t="s">
        <v>636</v>
      </c>
      <c r="F771" s="13" t="s">
        <v>647</v>
      </c>
      <c r="G771" s="12" t="s">
        <v>23</v>
      </c>
      <c r="H771" s="15"/>
      <c r="I771" s="15"/>
      <c r="J771" s="15">
        <f t="shared" si="16"/>
        <v>0</v>
      </c>
    </row>
    <row r="772" ht="28.8" spans="1:10">
      <c r="A772" s="12"/>
      <c r="B772" s="12"/>
      <c r="C772" s="13" t="s">
        <v>1012</v>
      </c>
      <c r="D772" s="14" t="s">
        <v>11</v>
      </c>
      <c r="E772" s="14" t="s">
        <v>634</v>
      </c>
      <c r="F772" s="13" t="s">
        <v>640</v>
      </c>
      <c r="G772" s="12" t="s">
        <v>23</v>
      </c>
      <c r="H772" s="15"/>
      <c r="I772" s="15"/>
      <c r="J772" s="15">
        <f t="shared" si="16"/>
        <v>0</v>
      </c>
    </row>
    <row r="773" ht="28.8" spans="1:10">
      <c r="A773" s="12"/>
      <c r="B773" s="12"/>
      <c r="C773" s="13" t="s">
        <v>1012</v>
      </c>
      <c r="D773" s="14" t="s">
        <v>11</v>
      </c>
      <c r="E773" s="14" t="s">
        <v>634</v>
      </c>
      <c r="F773" s="13" t="s">
        <v>650</v>
      </c>
      <c r="G773" s="12" t="s">
        <v>23</v>
      </c>
      <c r="H773" s="15"/>
      <c r="I773" s="15"/>
      <c r="J773" s="15">
        <f t="shared" si="16"/>
        <v>0</v>
      </c>
    </row>
    <row r="774" ht="28.8" spans="1:10">
      <c r="A774" s="12"/>
      <c r="B774" s="12"/>
      <c r="C774" s="13" t="s">
        <v>1012</v>
      </c>
      <c r="D774" s="14" t="s">
        <v>20</v>
      </c>
      <c r="E774" s="14" t="s">
        <v>636</v>
      </c>
      <c r="F774" s="13" t="s">
        <v>651</v>
      </c>
      <c r="G774" s="12" t="s">
        <v>23</v>
      </c>
      <c r="H774" s="15"/>
      <c r="I774" s="15"/>
      <c r="J774" s="15">
        <f t="shared" si="16"/>
        <v>0</v>
      </c>
    </row>
    <row r="775" ht="28.8" spans="1:10">
      <c r="A775" s="12"/>
      <c r="B775" s="12"/>
      <c r="C775" s="13" t="s">
        <v>1014</v>
      </c>
      <c r="D775" s="14" t="s">
        <v>11</v>
      </c>
      <c r="E775" s="14" t="s">
        <v>634</v>
      </c>
      <c r="F775" s="13" t="s">
        <v>635</v>
      </c>
      <c r="G775" s="12" t="s">
        <v>23</v>
      </c>
      <c r="H775" s="15"/>
      <c r="I775" s="15"/>
      <c r="J775" s="15">
        <f t="shared" si="16"/>
        <v>0</v>
      </c>
    </row>
    <row r="776" ht="28.8" spans="1:10">
      <c r="A776" s="12"/>
      <c r="B776" s="12"/>
      <c r="C776" s="13" t="s">
        <v>1014</v>
      </c>
      <c r="D776" s="14" t="s">
        <v>11</v>
      </c>
      <c r="E776" s="14" t="s">
        <v>634</v>
      </c>
      <c r="F776" s="13" t="s">
        <v>650</v>
      </c>
      <c r="G776" s="12" t="s">
        <v>23</v>
      </c>
      <c r="H776" s="15"/>
      <c r="I776" s="15"/>
      <c r="J776" s="15">
        <f t="shared" si="16"/>
        <v>0</v>
      </c>
    </row>
    <row r="777" ht="28.8" spans="1:10">
      <c r="A777" s="12"/>
      <c r="B777" s="12"/>
      <c r="C777" s="13" t="s">
        <v>1014</v>
      </c>
      <c r="D777" s="14" t="s">
        <v>20</v>
      </c>
      <c r="E777" s="14" t="s">
        <v>636</v>
      </c>
      <c r="F777" s="13" t="s">
        <v>654</v>
      </c>
      <c r="G777" s="12" t="s">
        <v>23</v>
      </c>
      <c r="H777" s="15"/>
      <c r="I777" s="15"/>
      <c r="J777" s="15">
        <f t="shared" si="16"/>
        <v>0</v>
      </c>
    </row>
    <row r="778" spans="1:10">
      <c r="A778" s="12"/>
      <c r="B778" s="12"/>
      <c r="C778" s="13" t="s">
        <v>1016</v>
      </c>
      <c r="D778" s="14" t="s">
        <v>11</v>
      </c>
      <c r="E778" s="14" t="s">
        <v>657</v>
      </c>
      <c r="F778" s="13" t="s">
        <v>658</v>
      </c>
      <c r="G778" s="12" t="s">
        <v>34</v>
      </c>
      <c r="H778" s="15"/>
      <c r="I778" s="15"/>
      <c r="J778" s="15">
        <f t="shared" si="16"/>
        <v>0</v>
      </c>
    </row>
    <row r="779" spans="1:10">
      <c r="A779" s="12"/>
      <c r="B779" s="12"/>
      <c r="C779" s="13" t="s">
        <v>1018</v>
      </c>
      <c r="D779" s="14" t="s">
        <v>11</v>
      </c>
      <c r="E779" s="14" t="s">
        <v>12</v>
      </c>
      <c r="F779" s="13" t="s">
        <v>13</v>
      </c>
      <c r="G779" s="12" t="s">
        <v>14</v>
      </c>
      <c r="H779" s="15"/>
      <c r="I779" s="15"/>
      <c r="J779" s="15">
        <f t="shared" si="16"/>
        <v>0</v>
      </c>
    </row>
    <row r="780" spans="1:10">
      <c r="A780" s="12"/>
      <c r="B780" s="12"/>
      <c r="C780" s="13" t="s">
        <v>1018</v>
      </c>
      <c r="D780" s="14" t="s">
        <v>11</v>
      </c>
      <c r="E780" s="14" t="s">
        <v>12</v>
      </c>
      <c r="F780" s="13" t="s">
        <v>15</v>
      </c>
      <c r="G780" s="12" t="s">
        <v>14</v>
      </c>
      <c r="H780" s="15"/>
      <c r="I780" s="15"/>
      <c r="J780" s="15">
        <f t="shared" si="16"/>
        <v>0</v>
      </c>
    </row>
    <row r="781" spans="1:10">
      <c r="A781" s="12"/>
      <c r="B781" s="12"/>
      <c r="C781" s="13" t="s">
        <v>1018</v>
      </c>
      <c r="D781" s="14" t="s">
        <v>11</v>
      </c>
      <c r="E781" s="14" t="s">
        <v>12</v>
      </c>
      <c r="F781" s="13" t="s">
        <v>28</v>
      </c>
      <c r="G781" s="12" t="s">
        <v>14</v>
      </c>
      <c r="H781" s="15"/>
      <c r="I781" s="15"/>
      <c r="J781" s="15">
        <f t="shared" si="16"/>
        <v>0</v>
      </c>
    </row>
    <row r="782" spans="1:10">
      <c r="A782" s="12"/>
      <c r="B782" s="12"/>
      <c r="C782" s="13" t="s">
        <v>1018</v>
      </c>
      <c r="D782" s="14" t="s">
        <v>20</v>
      </c>
      <c r="E782" s="14" t="s">
        <v>106</v>
      </c>
      <c r="F782" s="13" t="s">
        <v>107</v>
      </c>
      <c r="G782" s="12" t="s">
        <v>108</v>
      </c>
      <c r="H782" s="15"/>
      <c r="I782" s="15"/>
      <c r="J782" s="15">
        <f t="shared" si="16"/>
        <v>0</v>
      </c>
    </row>
    <row r="783" spans="1:10">
      <c r="A783" s="12"/>
      <c r="B783" s="12"/>
      <c r="C783" s="13" t="s">
        <v>1018</v>
      </c>
      <c r="D783" s="14" t="s">
        <v>20</v>
      </c>
      <c r="E783" s="14" t="s">
        <v>596</v>
      </c>
      <c r="F783" s="13" t="s">
        <v>597</v>
      </c>
      <c r="G783" s="12" t="s">
        <v>46</v>
      </c>
      <c r="H783" s="15"/>
      <c r="I783" s="15"/>
      <c r="J783" s="15">
        <f t="shared" si="16"/>
        <v>0</v>
      </c>
    </row>
    <row r="784" spans="1:10">
      <c r="A784" s="12"/>
      <c r="B784" s="12"/>
      <c r="C784" s="13" t="s">
        <v>1020</v>
      </c>
      <c r="D784" s="14" t="s">
        <v>11</v>
      </c>
      <c r="E784" s="14" t="s">
        <v>12</v>
      </c>
      <c r="F784" s="13" t="s">
        <v>13</v>
      </c>
      <c r="G784" s="12" t="s">
        <v>14</v>
      </c>
      <c r="H784" s="15"/>
      <c r="I784" s="15"/>
      <c r="J784" s="15">
        <f t="shared" si="16"/>
        <v>0</v>
      </c>
    </row>
    <row r="785" spans="1:10">
      <c r="A785" s="12"/>
      <c r="B785" s="12"/>
      <c r="C785" s="13" t="s">
        <v>1020</v>
      </c>
      <c r="D785" s="14" t="s">
        <v>11</v>
      </c>
      <c r="E785" s="14" t="s">
        <v>12</v>
      </c>
      <c r="F785" s="13" t="s">
        <v>15</v>
      </c>
      <c r="G785" s="12" t="s">
        <v>14</v>
      </c>
      <c r="H785" s="15"/>
      <c r="I785" s="15"/>
      <c r="J785" s="15">
        <f t="shared" si="16"/>
        <v>0</v>
      </c>
    </row>
    <row r="786" spans="1:10">
      <c r="A786" s="12"/>
      <c r="B786" s="12"/>
      <c r="C786" s="13" t="s">
        <v>1020</v>
      </c>
      <c r="D786" s="14" t="s">
        <v>11</v>
      </c>
      <c r="E786" s="14" t="s">
        <v>12</v>
      </c>
      <c r="F786" s="13" t="s">
        <v>28</v>
      </c>
      <c r="G786" s="12" t="s">
        <v>14</v>
      </c>
      <c r="H786" s="15"/>
      <c r="I786" s="15"/>
      <c r="J786" s="15">
        <f t="shared" si="16"/>
        <v>0</v>
      </c>
    </row>
    <row r="787" spans="1:10">
      <c r="A787" s="12"/>
      <c r="B787" s="12"/>
      <c r="C787" s="13" t="s">
        <v>1020</v>
      </c>
      <c r="D787" s="14" t="s">
        <v>20</v>
      </c>
      <c r="E787" s="14" t="s">
        <v>106</v>
      </c>
      <c r="F787" s="13" t="s">
        <v>107</v>
      </c>
      <c r="G787" s="12" t="s">
        <v>108</v>
      </c>
      <c r="H787" s="15"/>
      <c r="I787" s="15"/>
      <c r="J787" s="15">
        <f t="shared" si="16"/>
        <v>0</v>
      </c>
    </row>
    <row r="788" spans="1:10">
      <c r="A788" s="12"/>
      <c r="B788" s="12"/>
      <c r="C788" s="13" t="s">
        <v>1022</v>
      </c>
      <c r="D788" s="14" t="s">
        <v>11</v>
      </c>
      <c r="E788" s="14" t="s">
        <v>665</v>
      </c>
      <c r="F788" s="13" t="s">
        <v>666</v>
      </c>
      <c r="G788" s="12" t="s">
        <v>34</v>
      </c>
      <c r="H788" s="15"/>
      <c r="I788" s="15"/>
      <c r="J788" s="15">
        <f t="shared" si="16"/>
        <v>0</v>
      </c>
    </row>
    <row r="789" spans="1:10">
      <c r="A789" s="12"/>
      <c r="B789" s="12"/>
      <c r="C789" s="13" t="s">
        <v>1022</v>
      </c>
      <c r="D789" s="14" t="s">
        <v>11</v>
      </c>
      <c r="E789" s="14" t="s">
        <v>12</v>
      </c>
      <c r="F789" s="13" t="s">
        <v>13</v>
      </c>
      <c r="G789" s="12" t="s">
        <v>14</v>
      </c>
      <c r="H789" s="15"/>
      <c r="I789" s="15"/>
      <c r="J789" s="15">
        <f t="shared" si="16"/>
        <v>0</v>
      </c>
    </row>
    <row r="790" spans="1:10">
      <c r="A790" s="12"/>
      <c r="B790" s="12"/>
      <c r="C790" s="13" t="s">
        <v>1022</v>
      </c>
      <c r="D790" s="14" t="s">
        <v>11</v>
      </c>
      <c r="E790" s="14" t="s">
        <v>12</v>
      </c>
      <c r="F790" s="13" t="s">
        <v>15</v>
      </c>
      <c r="G790" s="12" t="s">
        <v>14</v>
      </c>
      <c r="H790" s="15"/>
      <c r="I790" s="15"/>
      <c r="J790" s="15">
        <f t="shared" si="16"/>
        <v>0</v>
      </c>
    </row>
    <row r="791" spans="1:10">
      <c r="A791" s="12"/>
      <c r="B791" s="12"/>
      <c r="C791" s="13" t="s">
        <v>1022</v>
      </c>
      <c r="D791" s="14" t="s">
        <v>11</v>
      </c>
      <c r="E791" s="14" t="s">
        <v>12</v>
      </c>
      <c r="F791" s="13" t="s">
        <v>28</v>
      </c>
      <c r="G791" s="12" t="s">
        <v>14</v>
      </c>
      <c r="H791" s="15"/>
      <c r="I791" s="15"/>
      <c r="J791" s="15">
        <f t="shared" si="16"/>
        <v>0</v>
      </c>
    </row>
    <row r="792" ht="28.8" spans="1:10">
      <c r="A792" s="12"/>
      <c r="B792" s="12"/>
      <c r="C792" s="13" t="s">
        <v>1022</v>
      </c>
      <c r="D792" s="14" t="s">
        <v>20</v>
      </c>
      <c r="E792" s="14" t="s">
        <v>59</v>
      </c>
      <c r="F792" s="13" t="s">
        <v>667</v>
      </c>
      <c r="G792" s="12" t="s">
        <v>49</v>
      </c>
      <c r="H792" s="15"/>
      <c r="I792" s="15"/>
      <c r="J792" s="15">
        <f t="shared" si="16"/>
        <v>0</v>
      </c>
    </row>
    <row r="793" spans="1:10">
      <c r="A793" s="12"/>
      <c r="B793" s="12"/>
      <c r="C793" s="13" t="s">
        <v>1022</v>
      </c>
      <c r="D793" s="14" t="s">
        <v>20</v>
      </c>
      <c r="E793" s="14" t="s">
        <v>59</v>
      </c>
      <c r="F793" s="13" t="s">
        <v>668</v>
      </c>
      <c r="G793" s="12" t="s">
        <v>49</v>
      </c>
      <c r="H793" s="15"/>
      <c r="I793" s="15"/>
      <c r="J793" s="15">
        <f t="shared" si="16"/>
        <v>0</v>
      </c>
    </row>
    <row r="794" spans="1:10">
      <c r="A794" s="12"/>
      <c r="B794" s="12"/>
      <c r="C794" s="13" t="s">
        <v>1022</v>
      </c>
      <c r="D794" s="14" t="s">
        <v>20</v>
      </c>
      <c r="E794" s="14" t="s">
        <v>59</v>
      </c>
      <c r="F794" s="13" t="s">
        <v>60</v>
      </c>
      <c r="G794" s="12" t="s">
        <v>49</v>
      </c>
      <c r="H794" s="15"/>
      <c r="I794" s="15"/>
      <c r="J794" s="15">
        <f t="shared" si="16"/>
        <v>0</v>
      </c>
    </row>
    <row r="795" spans="1:10">
      <c r="A795" s="12"/>
      <c r="B795" s="12"/>
      <c r="C795" s="13" t="s">
        <v>1022</v>
      </c>
      <c r="D795" s="14" t="s">
        <v>20</v>
      </c>
      <c r="E795" s="14" t="s">
        <v>59</v>
      </c>
      <c r="F795" s="13" t="s">
        <v>988</v>
      </c>
      <c r="G795" s="12" t="s">
        <v>49</v>
      </c>
      <c r="H795" s="15"/>
      <c r="I795" s="15"/>
      <c r="J795" s="15">
        <f t="shared" si="16"/>
        <v>0</v>
      </c>
    </row>
    <row r="796" spans="1:10">
      <c r="A796" s="12"/>
      <c r="B796" s="12"/>
      <c r="C796" s="13" t="s">
        <v>1022</v>
      </c>
      <c r="D796" s="14" t="s">
        <v>20</v>
      </c>
      <c r="E796" s="14" t="s">
        <v>59</v>
      </c>
      <c r="F796" s="13" t="s">
        <v>989</v>
      </c>
      <c r="G796" s="12" t="s">
        <v>49</v>
      </c>
      <c r="H796" s="15"/>
      <c r="I796" s="15"/>
      <c r="J796" s="15">
        <f t="shared" si="16"/>
        <v>0</v>
      </c>
    </row>
    <row r="797" spans="1:10">
      <c r="A797" s="12"/>
      <c r="B797" s="12"/>
      <c r="C797" s="13" t="s">
        <v>1022</v>
      </c>
      <c r="D797" s="14" t="s">
        <v>20</v>
      </c>
      <c r="E797" s="14" t="s">
        <v>106</v>
      </c>
      <c r="F797" s="13" t="s">
        <v>838</v>
      </c>
      <c r="G797" s="12" t="s">
        <v>108</v>
      </c>
      <c r="H797" s="15"/>
      <c r="I797" s="15"/>
      <c r="J797" s="15">
        <f t="shared" si="16"/>
        <v>0</v>
      </c>
    </row>
    <row r="798" spans="1:10">
      <c r="A798" s="12"/>
      <c r="B798" s="12"/>
      <c r="C798" s="13" t="s">
        <v>1024</v>
      </c>
      <c r="D798" s="14" t="s">
        <v>11</v>
      </c>
      <c r="E798" s="14" t="s">
        <v>12</v>
      </c>
      <c r="F798" s="13" t="s">
        <v>13</v>
      </c>
      <c r="G798" s="12" t="s">
        <v>14</v>
      </c>
      <c r="H798" s="15"/>
      <c r="I798" s="15"/>
      <c r="J798" s="15">
        <f t="shared" si="16"/>
        <v>0</v>
      </c>
    </row>
    <row r="799" spans="1:10">
      <c r="A799" s="12"/>
      <c r="B799" s="12"/>
      <c r="C799" s="13" t="s">
        <v>1024</v>
      </c>
      <c r="D799" s="14" t="s">
        <v>11</v>
      </c>
      <c r="E799" s="14" t="s">
        <v>12</v>
      </c>
      <c r="F799" s="13" t="s">
        <v>15</v>
      </c>
      <c r="G799" s="12" t="s">
        <v>14</v>
      </c>
      <c r="H799" s="15"/>
      <c r="I799" s="15"/>
      <c r="J799" s="15">
        <f t="shared" si="16"/>
        <v>0</v>
      </c>
    </row>
    <row r="800" spans="1:10">
      <c r="A800" s="12"/>
      <c r="B800" s="12"/>
      <c r="C800" s="13" t="s">
        <v>1024</v>
      </c>
      <c r="D800" s="14" t="s">
        <v>11</v>
      </c>
      <c r="E800" s="14" t="s">
        <v>12</v>
      </c>
      <c r="F800" s="13" t="s">
        <v>28</v>
      </c>
      <c r="G800" s="12" t="s">
        <v>14</v>
      </c>
      <c r="H800" s="15"/>
      <c r="I800" s="15"/>
      <c r="J800" s="15">
        <f t="shared" si="16"/>
        <v>0</v>
      </c>
    </row>
    <row r="801" spans="1:10">
      <c r="A801" s="12"/>
      <c r="B801" s="12"/>
      <c r="C801" s="13" t="s">
        <v>1024</v>
      </c>
      <c r="D801" s="14" t="s">
        <v>20</v>
      </c>
      <c r="E801" s="14" t="s">
        <v>59</v>
      </c>
      <c r="F801" s="13" t="s">
        <v>992</v>
      </c>
      <c r="G801" s="12" t="s">
        <v>49</v>
      </c>
      <c r="H801" s="15"/>
      <c r="I801" s="15"/>
      <c r="J801" s="15">
        <f t="shared" si="16"/>
        <v>0</v>
      </c>
    </row>
    <row r="802" ht="28.8" spans="1:10">
      <c r="A802" s="12"/>
      <c r="B802" s="12"/>
      <c r="C802" s="13" t="s">
        <v>1024</v>
      </c>
      <c r="D802" s="14" t="s">
        <v>20</v>
      </c>
      <c r="E802" s="14" t="s">
        <v>59</v>
      </c>
      <c r="F802" s="13" t="s">
        <v>667</v>
      </c>
      <c r="G802" s="12" t="s">
        <v>49</v>
      </c>
      <c r="H802" s="15"/>
      <c r="I802" s="15"/>
      <c r="J802" s="15">
        <f t="shared" si="16"/>
        <v>0</v>
      </c>
    </row>
    <row r="803" spans="1:10">
      <c r="A803" s="12"/>
      <c r="B803" s="12"/>
      <c r="C803" s="13" t="s">
        <v>1024</v>
      </c>
      <c r="D803" s="14" t="s">
        <v>20</v>
      </c>
      <c r="E803" s="14" t="s">
        <v>59</v>
      </c>
      <c r="F803" s="13" t="s">
        <v>668</v>
      </c>
      <c r="G803" s="12" t="s">
        <v>49</v>
      </c>
      <c r="H803" s="15"/>
      <c r="I803" s="15"/>
      <c r="J803" s="15">
        <f t="shared" si="16"/>
        <v>0</v>
      </c>
    </row>
    <row r="804" spans="1:10">
      <c r="A804" s="12"/>
      <c r="B804" s="12"/>
      <c r="C804" s="13" t="s">
        <v>1024</v>
      </c>
      <c r="D804" s="14" t="s">
        <v>20</v>
      </c>
      <c r="E804" s="14" t="s">
        <v>59</v>
      </c>
      <c r="F804" s="13" t="s">
        <v>60</v>
      </c>
      <c r="G804" s="12" t="s">
        <v>49</v>
      </c>
      <c r="H804" s="15"/>
      <c r="I804" s="15"/>
      <c r="J804" s="15">
        <f t="shared" si="16"/>
        <v>0</v>
      </c>
    </row>
    <row r="805" spans="1:10">
      <c r="A805" s="12"/>
      <c r="B805" s="12"/>
      <c r="C805" s="13" t="s">
        <v>1024</v>
      </c>
      <c r="D805" s="14" t="s">
        <v>20</v>
      </c>
      <c r="E805" s="14" t="s">
        <v>59</v>
      </c>
      <c r="F805" s="13" t="s">
        <v>988</v>
      </c>
      <c r="G805" s="12" t="s">
        <v>49</v>
      </c>
      <c r="H805" s="15"/>
      <c r="I805" s="15"/>
      <c r="J805" s="15">
        <f t="shared" si="16"/>
        <v>0</v>
      </c>
    </row>
    <row r="806" spans="1:10">
      <c r="A806" s="12"/>
      <c r="B806" s="12"/>
      <c r="C806" s="13" t="s">
        <v>1024</v>
      </c>
      <c r="D806" s="14" t="s">
        <v>20</v>
      </c>
      <c r="E806" s="14" t="s">
        <v>59</v>
      </c>
      <c r="F806" s="13" t="s">
        <v>989</v>
      </c>
      <c r="G806" s="12" t="s">
        <v>49</v>
      </c>
      <c r="H806" s="15"/>
      <c r="I806" s="15"/>
      <c r="J806" s="15">
        <f t="shared" si="16"/>
        <v>0</v>
      </c>
    </row>
    <row r="807" spans="1:10">
      <c r="A807" s="12"/>
      <c r="B807" s="12"/>
      <c r="C807" s="13" t="s">
        <v>1024</v>
      </c>
      <c r="D807" s="14" t="s">
        <v>20</v>
      </c>
      <c r="E807" s="14" t="s">
        <v>106</v>
      </c>
      <c r="F807" s="13" t="s">
        <v>873</v>
      </c>
      <c r="G807" s="12" t="s">
        <v>108</v>
      </c>
      <c r="H807" s="15"/>
      <c r="I807" s="15"/>
      <c r="J807" s="15">
        <f t="shared" si="16"/>
        <v>0</v>
      </c>
    </row>
    <row r="808" ht="28.8" spans="1:10">
      <c r="A808" s="12"/>
      <c r="B808" s="12"/>
      <c r="C808" s="13" t="s">
        <v>1026</v>
      </c>
      <c r="D808" s="14" t="s">
        <v>11</v>
      </c>
      <c r="E808" s="14" t="s">
        <v>618</v>
      </c>
      <c r="F808" s="13" t="s">
        <v>619</v>
      </c>
      <c r="G808" s="12" t="s">
        <v>23</v>
      </c>
      <c r="H808" s="15"/>
      <c r="I808" s="15"/>
      <c r="J808" s="15">
        <f t="shared" si="16"/>
        <v>0</v>
      </c>
    </row>
    <row r="809" ht="28.8" spans="1:10">
      <c r="A809" s="12"/>
      <c r="B809" s="12"/>
      <c r="C809" s="13" t="s">
        <v>1026</v>
      </c>
      <c r="D809" s="14" t="s">
        <v>11</v>
      </c>
      <c r="E809" s="14" t="s">
        <v>618</v>
      </c>
      <c r="F809" s="13" t="s">
        <v>620</v>
      </c>
      <c r="G809" s="12" t="s">
        <v>23</v>
      </c>
      <c r="H809" s="15"/>
      <c r="I809" s="15"/>
      <c r="J809" s="15">
        <f t="shared" si="16"/>
        <v>0</v>
      </c>
    </row>
    <row r="810" ht="28.8" spans="1:10">
      <c r="A810" s="12"/>
      <c r="B810" s="12"/>
      <c r="C810" s="13" t="s">
        <v>1026</v>
      </c>
      <c r="D810" s="14" t="s">
        <v>11</v>
      </c>
      <c r="E810" s="14" t="s">
        <v>618</v>
      </c>
      <c r="F810" s="13" t="s">
        <v>621</v>
      </c>
      <c r="G810" s="12" t="s">
        <v>23</v>
      </c>
      <c r="H810" s="15"/>
      <c r="I810" s="15"/>
      <c r="J810" s="15">
        <f t="shared" si="16"/>
        <v>0</v>
      </c>
    </row>
    <row r="811" ht="28.8" spans="1:10">
      <c r="A811" s="12"/>
      <c r="B811" s="12"/>
      <c r="C811" s="13" t="s">
        <v>1028</v>
      </c>
      <c r="D811" s="14" t="s">
        <v>11</v>
      </c>
      <c r="E811" s="14" t="s">
        <v>12</v>
      </c>
      <c r="F811" s="13" t="s">
        <v>13</v>
      </c>
      <c r="G811" s="12" t="s">
        <v>14</v>
      </c>
      <c r="H811" s="15"/>
      <c r="I811" s="15"/>
      <c r="J811" s="15">
        <f t="shared" si="16"/>
        <v>0</v>
      </c>
    </row>
    <row r="812" ht="28.8" spans="1:10">
      <c r="A812" s="12"/>
      <c r="B812" s="12"/>
      <c r="C812" s="13" t="s">
        <v>1028</v>
      </c>
      <c r="D812" s="14" t="s">
        <v>20</v>
      </c>
      <c r="E812" s="14" t="s">
        <v>576</v>
      </c>
      <c r="F812" s="13" t="s">
        <v>918</v>
      </c>
      <c r="G812" s="12" t="s">
        <v>100</v>
      </c>
      <c r="H812" s="15"/>
      <c r="I812" s="15"/>
      <c r="J812" s="15">
        <f t="shared" si="16"/>
        <v>0</v>
      </c>
    </row>
    <row r="813" ht="28.8" spans="1:10">
      <c r="A813" s="12"/>
      <c r="B813" s="12"/>
      <c r="C813" s="13" t="s">
        <v>1028</v>
      </c>
      <c r="D813" s="14" t="s">
        <v>20</v>
      </c>
      <c r="E813" s="14" t="s">
        <v>112</v>
      </c>
      <c r="F813" s="13" t="s">
        <v>113</v>
      </c>
      <c r="G813" s="12" t="s">
        <v>46</v>
      </c>
      <c r="H813" s="15"/>
      <c r="I813" s="15"/>
      <c r="J813" s="15">
        <f t="shared" si="16"/>
        <v>0</v>
      </c>
    </row>
    <row r="814" spans="1:10">
      <c r="A814" s="12"/>
      <c r="B814" s="12"/>
      <c r="C814" s="13" t="s">
        <v>1030</v>
      </c>
      <c r="D814" s="14" t="s">
        <v>11</v>
      </c>
      <c r="E814" s="14" t="s">
        <v>665</v>
      </c>
      <c r="F814" s="13" t="s">
        <v>666</v>
      </c>
      <c r="G814" s="12" t="s">
        <v>34</v>
      </c>
      <c r="H814" s="15"/>
      <c r="I814" s="15"/>
      <c r="J814" s="15">
        <f t="shared" si="16"/>
        <v>0</v>
      </c>
    </row>
    <row r="815" spans="1:10">
      <c r="A815" s="12"/>
      <c r="B815" s="12"/>
      <c r="C815" s="13" t="s">
        <v>1030</v>
      </c>
      <c r="D815" s="14" t="s">
        <v>11</v>
      </c>
      <c r="E815" s="14" t="s">
        <v>12</v>
      </c>
      <c r="F815" s="13" t="s">
        <v>13</v>
      </c>
      <c r="G815" s="12" t="s">
        <v>14</v>
      </c>
      <c r="H815" s="15"/>
      <c r="I815" s="15"/>
      <c r="J815" s="15">
        <f t="shared" si="16"/>
        <v>0</v>
      </c>
    </row>
    <row r="816" spans="1:10">
      <c r="A816" s="12"/>
      <c r="B816" s="12"/>
      <c r="C816" s="13" t="s">
        <v>1030</v>
      </c>
      <c r="D816" s="14" t="s">
        <v>11</v>
      </c>
      <c r="E816" s="14" t="s">
        <v>12</v>
      </c>
      <c r="F816" s="13" t="s">
        <v>15</v>
      </c>
      <c r="G816" s="12" t="s">
        <v>14</v>
      </c>
      <c r="H816" s="15"/>
      <c r="I816" s="15"/>
      <c r="J816" s="15">
        <f t="shared" si="16"/>
        <v>0</v>
      </c>
    </row>
    <row r="817" spans="1:10">
      <c r="A817" s="12"/>
      <c r="B817" s="12"/>
      <c r="C817" s="13" t="s">
        <v>1030</v>
      </c>
      <c r="D817" s="14" t="s">
        <v>11</v>
      </c>
      <c r="E817" s="14" t="s">
        <v>12</v>
      </c>
      <c r="F817" s="13" t="s">
        <v>28</v>
      </c>
      <c r="G817" s="12" t="s">
        <v>14</v>
      </c>
      <c r="H817" s="15"/>
      <c r="I817" s="15"/>
      <c r="J817" s="15">
        <f t="shared" si="16"/>
        <v>0</v>
      </c>
    </row>
    <row r="818" ht="28.8" spans="1:10">
      <c r="A818" s="12"/>
      <c r="B818" s="12"/>
      <c r="C818" s="13" t="s">
        <v>1030</v>
      </c>
      <c r="D818" s="14" t="s">
        <v>20</v>
      </c>
      <c r="E818" s="14" t="s">
        <v>59</v>
      </c>
      <c r="F818" s="13" t="s">
        <v>667</v>
      </c>
      <c r="G818" s="12" t="s">
        <v>49</v>
      </c>
      <c r="H818" s="15"/>
      <c r="I818" s="15"/>
      <c r="J818" s="15">
        <f t="shared" si="16"/>
        <v>0</v>
      </c>
    </row>
    <row r="819" spans="1:10">
      <c r="A819" s="12"/>
      <c r="B819" s="12"/>
      <c r="C819" s="13" t="s">
        <v>1030</v>
      </c>
      <c r="D819" s="14" t="s">
        <v>20</v>
      </c>
      <c r="E819" s="14" t="s">
        <v>59</v>
      </c>
      <c r="F819" s="13" t="s">
        <v>668</v>
      </c>
      <c r="G819" s="12" t="s">
        <v>49</v>
      </c>
      <c r="H819" s="15"/>
      <c r="I819" s="15"/>
      <c r="J819" s="15">
        <f t="shared" si="16"/>
        <v>0</v>
      </c>
    </row>
    <row r="820" spans="1:10">
      <c r="A820" s="12"/>
      <c r="B820" s="12"/>
      <c r="C820" s="13" t="s">
        <v>1030</v>
      </c>
      <c r="D820" s="14" t="s">
        <v>20</v>
      </c>
      <c r="E820" s="14" t="s">
        <v>59</v>
      </c>
      <c r="F820" s="13" t="s">
        <v>60</v>
      </c>
      <c r="G820" s="12" t="s">
        <v>49</v>
      </c>
      <c r="H820" s="15"/>
      <c r="I820" s="15"/>
      <c r="J820" s="15">
        <f t="shared" si="16"/>
        <v>0</v>
      </c>
    </row>
    <row r="821" spans="1:10">
      <c r="A821" s="12"/>
      <c r="B821" s="12"/>
      <c r="C821" s="13" t="s">
        <v>1030</v>
      </c>
      <c r="D821" s="14" t="s">
        <v>20</v>
      </c>
      <c r="E821" s="14" t="s">
        <v>106</v>
      </c>
      <c r="F821" s="13" t="s">
        <v>669</v>
      </c>
      <c r="G821" s="12" t="s">
        <v>108</v>
      </c>
      <c r="H821" s="15"/>
      <c r="I821" s="15"/>
      <c r="J821" s="15">
        <f t="shared" si="16"/>
        <v>0</v>
      </c>
    </row>
    <row r="822" ht="28.8" spans="1:10">
      <c r="A822" s="12"/>
      <c r="B822" s="12"/>
      <c r="C822" s="13" t="s">
        <v>1032</v>
      </c>
      <c r="D822" s="14" t="s">
        <v>11</v>
      </c>
      <c r="E822" s="14" t="s">
        <v>24</v>
      </c>
      <c r="F822" s="13" t="s">
        <v>604</v>
      </c>
      <c r="G822" s="12" t="s">
        <v>34</v>
      </c>
      <c r="H822" s="15"/>
      <c r="I822" s="15"/>
      <c r="J822" s="15">
        <f t="shared" si="16"/>
        <v>0</v>
      </c>
    </row>
    <row r="823" ht="28.8" spans="1:10">
      <c r="A823" s="12"/>
      <c r="B823" s="12"/>
      <c r="C823" s="13" t="s">
        <v>1032</v>
      </c>
      <c r="D823" s="14" t="s">
        <v>11</v>
      </c>
      <c r="E823" s="14" t="s">
        <v>24</v>
      </c>
      <c r="F823" s="13" t="s">
        <v>605</v>
      </c>
      <c r="G823" s="12" t="s">
        <v>34</v>
      </c>
      <c r="H823" s="15"/>
      <c r="I823" s="15"/>
      <c r="J823" s="15">
        <f t="shared" si="16"/>
        <v>0</v>
      </c>
    </row>
    <row r="824" ht="28.8" spans="1:10">
      <c r="A824" s="12"/>
      <c r="B824" s="12"/>
      <c r="C824" s="13" t="s">
        <v>1032</v>
      </c>
      <c r="D824" s="14" t="s">
        <v>11</v>
      </c>
      <c r="E824" s="14" t="s">
        <v>24</v>
      </c>
      <c r="F824" s="13" t="s">
        <v>606</v>
      </c>
      <c r="G824" s="12" t="s">
        <v>34</v>
      </c>
      <c r="H824" s="15"/>
      <c r="I824" s="15"/>
      <c r="J824" s="15">
        <f t="shared" si="16"/>
        <v>0</v>
      </c>
    </row>
    <row r="825" ht="28.8" spans="1:10">
      <c r="A825" s="12"/>
      <c r="B825" s="12"/>
      <c r="C825" s="13" t="s">
        <v>1032</v>
      </c>
      <c r="D825" s="14" t="s">
        <v>20</v>
      </c>
      <c r="E825" s="14" t="s">
        <v>47</v>
      </c>
      <c r="F825" s="13" t="s">
        <v>50</v>
      </c>
      <c r="G825" s="12" t="s">
        <v>49</v>
      </c>
      <c r="H825" s="15"/>
      <c r="I825" s="15"/>
      <c r="J825" s="15">
        <f t="shared" si="16"/>
        <v>0</v>
      </c>
    </row>
    <row r="826" ht="28.8" spans="1:10">
      <c r="A826" s="12"/>
      <c r="B826" s="12"/>
      <c r="C826" s="13" t="s">
        <v>1032</v>
      </c>
      <c r="D826" s="14" t="s">
        <v>20</v>
      </c>
      <c r="E826" s="14" t="s">
        <v>61</v>
      </c>
      <c r="F826" s="13" t="s">
        <v>78</v>
      </c>
      <c r="G826" s="12" t="s">
        <v>49</v>
      </c>
      <c r="H826" s="15"/>
      <c r="I826" s="15"/>
      <c r="J826" s="15">
        <f t="shared" si="16"/>
        <v>0</v>
      </c>
    </row>
    <row r="827" ht="28.8" spans="1:10">
      <c r="A827" s="12"/>
      <c r="B827" s="12"/>
      <c r="C827" s="13" t="s">
        <v>1032</v>
      </c>
      <c r="D827" s="14" t="s">
        <v>20</v>
      </c>
      <c r="E827" s="14" t="s">
        <v>61</v>
      </c>
      <c r="F827" s="13" t="s">
        <v>607</v>
      </c>
      <c r="G827" s="12" t="s">
        <v>23</v>
      </c>
      <c r="H827" s="15"/>
      <c r="I827" s="15"/>
      <c r="J827" s="15">
        <f t="shared" si="16"/>
        <v>0</v>
      </c>
    </row>
    <row r="828" ht="28.8" spans="1:10">
      <c r="A828" s="12"/>
      <c r="B828" s="12"/>
      <c r="C828" s="13" t="s">
        <v>1032</v>
      </c>
      <c r="D828" s="14" t="s">
        <v>20</v>
      </c>
      <c r="E828" s="14" t="s">
        <v>84</v>
      </c>
      <c r="F828" s="13" t="s">
        <v>86</v>
      </c>
      <c r="G828" s="12" t="s">
        <v>49</v>
      </c>
      <c r="H828" s="15"/>
      <c r="I828" s="15"/>
      <c r="J828" s="15">
        <f t="shared" si="16"/>
        <v>0</v>
      </c>
    </row>
    <row r="829" ht="28.8" spans="1:10">
      <c r="A829" s="12"/>
      <c r="B829" s="12"/>
      <c r="C829" s="13" t="s">
        <v>1032</v>
      </c>
      <c r="D829" s="14" t="s">
        <v>20</v>
      </c>
      <c r="E829" s="14" t="s">
        <v>84</v>
      </c>
      <c r="F829" s="13" t="s">
        <v>88</v>
      </c>
      <c r="G829" s="12" t="s">
        <v>49</v>
      </c>
      <c r="H829" s="15"/>
      <c r="I829" s="15"/>
      <c r="J829" s="15">
        <f t="shared" si="16"/>
        <v>0</v>
      </c>
    </row>
    <row r="830" ht="28.8" spans="1:10">
      <c r="A830" s="12"/>
      <c r="B830" s="12"/>
      <c r="C830" s="13" t="s">
        <v>1032</v>
      </c>
      <c r="D830" s="14" t="s">
        <v>20</v>
      </c>
      <c r="E830" s="14" t="s">
        <v>84</v>
      </c>
      <c r="F830" s="13" t="s">
        <v>89</v>
      </c>
      <c r="G830" s="12" t="s">
        <v>49</v>
      </c>
      <c r="H830" s="15"/>
      <c r="I830" s="15"/>
      <c r="J830" s="15">
        <f t="shared" ref="J830:J893" si="17">+ROUND(PRODUCT(H830*I830),0)</f>
        <v>0</v>
      </c>
    </row>
    <row r="831" ht="28.8" spans="1:10">
      <c r="A831" s="12"/>
      <c r="B831" s="12"/>
      <c r="C831" s="13" t="s">
        <v>1032</v>
      </c>
      <c r="D831" s="14" t="s">
        <v>20</v>
      </c>
      <c r="E831" s="14" t="s">
        <v>84</v>
      </c>
      <c r="F831" s="13" t="s">
        <v>608</v>
      </c>
      <c r="G831" s="12" t="s">
        <v>100</v>
      </c>
      <c r="H831" s="15"/>
      <c r="I831" s="15"/>
      <c r="J831" s="15">
        <f t="shared" si="17"/>
        <v>0</v>
      </c>
    </row>
    <row r="832" ht="28.8" spans="1:10">
      <c r="A832" s="12"/>
      <c r="B832" s="12"/>
      <c r="C832" s="13" t="s">
        <v>1032</v>
      </c>
      <c r="D832" s="14" t="s">
        <v>20</v>
      </c>
      <c r="E832" s="14" t="s">
        <v>84</v>
      </c>
      <c r="F832" s="13" t="s">
        <v>610</v>
      </c>
      <c r="G832" s="12" t="s">
        <v>611</v>
      </c>
      <c r="H832" s="15"/>
      <c r="I832" s="15"/>
      <c r="J832" s="15">
        <f t="shared" si="17"/>
        <v>0</v>
      </c>
    </row>
    <row r="833" ht="28.8" spans="1:10">
      <c r="A833" s="12"/>
      <c r="B833" s="12"/>
      <c r="C833" s="13" t="s">
        <v>1032</v>
      </c>
      <c r="D833" s="14" t="s">
        <v>20</v>
      </c>
      <c r="E833" s="14" t="s">
        <v>84</v>
      </c>
      <c r="F833" s="13" t="s">
        <v>612</v>
      </c>
      <c r="G833" s="12" t="s">
        <v>611</v>
      </c>
      <c r="H833" s="15"/>
      <c r="I833" s="15"/>
      <c r="J833" s="15">
        <f t="shared" si="17"/>
        <v>0</v>
      </c>
    </row>
    <row r="834" ht="28.8" spans="1:10">
      <c r="A834" s="12"/>
      <c r="B834" s="12"/>
      <c r="C834" s="13" t="s">
        <v>1032</v>
      </c>
      <c r="D834" s="14" t="s">
        <v>20</v>
      </c>
      <c r="E834" s="14" t="s">
        <v>84</v>
      </c>
      <c r="F834" s="13" t="s">
        <v>684</v>
      </c>
      <c r="G834" s="12" t="s">
        <v>23</v>
      </c>
      <c r="H834" s="15"/>
      <c r="I834" s="15"/>
      <c r="J834" s="15">
        <f t="shared" si="17"/>
        <v>0</v>
      </c>
    </row>
    <row r="835" ht="28.8" spans="1:10">
      <c r="A835" s="12"/>
      <c r="B835" s="12"/>
      <c r="C835" s="13" t="s">
        <v>1034</v>
      </c>
      <c r="D835" s="14" t="s">
        <v>20</v>
      </c>
      <c r="E835" s="14" t="s">
        <v>47</v>
      </c>
      <c r="F835" s="13" t="s">
        <v>48</v>
      </c>
      <c r="G835" s="12" t="s">
        <v>49</v>
      </c>
      <c r="H835" s="15"/>
      <c r="I835" s="15"/>
      <c r="J835" s="15">
        <f t="shared" si="17"/>
        <v>0</v>
      </c>
    </row>
    <row r="836" ht="28.8" spans="1:10">
      <c r="A836" s="12"/>
      <c r="B836" s="12"/>
      <c r="C836" s="13" t="s">
        <v>1034</v>
      </c>
      <c r="D836" s="14" t="s">
        <v>20</v>
      </c>
      <c r="E836" s="14" t="s">
        <v>624</v>
      </c>
      <c r="F836" s="13" t="s">
        <v>625</v>
      </c>
      <c r="G836" s="12" t="s">
        <v>23</v>
      </c>
      <c r="H836" s="15"/>
      <c r="I836" s="15"/>
      <c r="J836" s="15">
        <f t="shared" si="17"/>
        <v>0</v>
      </c>
    </row>
    <row r="837" ht="28.8" spans="1:10">
      <c r="A837" s="12"/>
      <c r="B837" s="12"/>
      <c r="C837" s="13" t="s">
        <v>1034</v>
      </c>
      <c r="D837" s="14" t="s">
        <v>20</v>
      </c>
      <c r="E837" s="14" t="s">
        <v>624</v>
      </c>
      <c r="F837" s="13" t="s">
        <v>626</v>
      </c>
      <c r="G837" s="12" t="s">
        <v>23</v>
      </c>
      <c r="H837" s="15"/>
      <c r="I837" s="15"/>
      <c r="J837" s="15">
        <f t="shared" si="17"/>
        <v>0</v>
      </c>
    </row>
    <row r="838" ht="28.8" spans="1:10">
      <c r="A838" s="12"/>
      <c r="B838" s="12"/>
      <c r="C838" s="13" t="s">
        <v>1034</v>
      </c>
      <c r="D838" s="14" t="s">
        <v>20</v>
      </c>
      <c r="E838" s="14" t="s">
        <v>624</v>
      </c>
      <c r="F838" s="13" t="s">
        <v>627</v>
      </c>
      <c r="G838" s="12" t="s">
        <v>23</v>
      </c>
      <c r="H838" s="15"/>
      <c r="I838" s="15"/>
      <c r="J838" s="15">
        <f t="shared" si="17"/>
        <v>0</v>
      </c>
    </row>
    <row r="839" ht="28.8" spans="1:10">
      <c r="A839" s="12"/>
      <c r="B839" s="12"/>
      <c r="C839" s="13" t="s">
        <v>1034</v>
      </c>
      <c r="D839" s="14" t="s">
        <v>20</v>
      </c>
      <c r="E839" s="14" t="s">
        <v>624</v>
      </c>
      <c r="F839" s="13" t="s">
        <v>628</v>
      </c>
      <c r="G839" s="12" t="s">
        <v>23</v>
      </c>
      <c r="H839" s="15"/>
      <c r="I839" s="15"/>
      <c r="J839" s="15">
        <f t="shared" si="17"/>
        <v>0</v>
      </c>
    </row>
    <row r="840" ht="28.8" spans="1:10">
      <c r="A840" s="12"/>
      <c r="B840" s="12"/>
      <c r="C840" s="13" t="s">
        <v>1034</v>
      </c>
      <c r="D840" s="14" t="s">
        <v>20</v>
      </c>
      <c r="E840" s="14" t="s">
        <v>624</v>
      </c>
      <c r="F840" s="13" t="s">
        <v>629</v>
      </c>
      <c r="G840" s="12" t="s">
        <v>23</v>
      </c>
      <c r="H840" s="15"/>
      <c r="I840" s="15"/>
      <c r="J840" s="15">
        <f t="shared" si="17"/>
        <v>0</v>
      </c>
    </row>
    <row r="841" ht="28.8" spans="1:10">
      <c r="A841" s="12"/>
      <c r="B841" s="12"/>
      <c r="C841" s="13" t="s">
        <v>1034</v>
      </c>
      <c r="D841" s="14" t="s">
        <v>11</v>
      </c>
      <c r="E841" s="14" t="s">
        <v>630</v>
      </c>
      <c r="F841" s="13" t="s">
        <v>631</v>
      </c>
      <c r="G841" s="12" t="s">
        <v>17</v>
      </c>
      <c r="H841" s="15"/>
      <c r="I841" s="15"/>
      <c r="J841" s="15">
        <f t="shared" si="17"/>
        <v>0</v>
      </c>
    </row>
    <row r="842" spans="1:10">
      <c r="A842" s="12"/>
      <c r="B842" s="12"/>
      <c r="C842" s="13" t="s">
        <v>1036</v>
      </c>
      <c r="D842" s="14" t="s">
        <v>11</v>
      </c>
      <c r="E842" s="14" t="s">
        <v>665</v>
      </c>
      <c r="F842" s="13" t="s">
        <v>666</v>
      </c>
      <c r="G842" s="12" t="s">
        <v>34</v>
      </c>
      <c r="H842" s="15"/>
      <c r="I842" s="15"/>
      <c r="J842" s="15">
        <f t="shared" si="17"/>
        <v>0</v>
      </c>
    </row>
    <row r="843" spans="1:10">
      <c r="A843" s="12"/>
      <c r="B843" s="12"/>
      <c r="C843" s="13" t="s">
        <v>1036</v>
      </c>
      <c r="D843" s="14" t="s">
        <v>11</v>
      </c>
      <c r="E843" s="14" t="s">
        <v>12</v>
      </c>
      <c r="F843" s="13" t="s">
        <v>13</v>
      </c>
      <c r="G843" s="12" t="s">
        <v>14</v>
      </c>
      <c r="H843" s="15"/>
      <c r="I843" s="15"/>
      <c r="J843" s="15">
        <f t="shared" si="17"/>
        <v>0</v>
      </c>
    </row>
    <row r="844" spans="1:10">
      <c r="A844" s="12"/>
      <c r="B844" s="12"/>
      <c r="C844" s="13" t="s">
        <v>1036</v>
      </c>
      <c r="D844" s="14" t="s">
        <v>11</v>
      </c>
      <c r="E844" s="14" t="s">
        <v>12</v>
      </c>
      <c r="F844" s="13" t="s">
        <v>15</v>
      </c>
      <c r="G844" s="12" t="s">
        <v>14</v>
      </c>
      <c r="H844" s="15"/>
      <c r="I844" s="15"/>
      <c r="J844" s="15">
        <f t="shared" si="17"/>
        <v>0</v>
      </c>
    </row>
    <row r="845" spans="1:10">
      <c r="A845" s="12"/>
      <c r="B845" s="12"/>
      <c r="C845" s="13" t="s">
        <v>1036</v>
      </c>
      <c r="D845" s="14" t="s">
        <v>11</v>
      </c>
      <c r="E845" s="14" t="s">
        <v>12</v>
      </c>
      <c r="F845" s="13" t="s">
        <v>28</v>
      </c>
      <c r="G845" s="12" t="s">
        <v>14</v>
      </c>
      <c r="H845" s="15"/>
      <c r="I845" s="15"/>
      <c r="J845" s="15">
        <f t="shared" si="17"/>
        <v>0</v>
      </c>
    </row>
    <row r="846" ht="28.8" spans="1:10">
      <c r="A846" s="12"/>
      <c r="B846" s="12"/>
      <c r="C846" s="13" t="s">
        <v>1036</v>
      </c>
      <c r="D846" s="14" t="s">
        <v>20</v>
      </c>
      <c r="E846" s="14" t="s">
        <v>59</v>
      </c>
      <c r="F846" s="13" t="s">
        <v>667</v>
      </c>
      <c r="G846" s="12" t="s">
        <v>49</v>
      </c>
      <c r="H846" s="15"/>
      <c r="I846" s="15"/>
      <c r="J846" s="15">
        <f t="shared" si="17"/>
        <v>0</v>
      </c>
    </row>
    <row r="847" spans="1:10">
      <c r="A847" s="12"/>
      <c r="B847" s="12"/>
      <c r="C847" s="13" t="s">
        <v>1036</v>
      </c>
      <c r="D847" s="14" t="s">
        <v>20</v>
      </c>
      <c r="E847" s="14" t="s">
        <v>59</v>
      </c>
      <c r="F847" s="13" t="s">
        <v>668</v>
      </c>
      <c r="G847" s="12" t="s">
        <v>49</v>
      </c>
      <c r="H847" s="15"/>
      <c r="I847" s="15"/>
      <c r="J847" s="15">
        <f t="shared" si="17"/>
        <v>0</v>
      </c>
    </row>
    <row r="848" spans="1:10">
      <c r="A848" s="12"/>
      <c r="B848" s="12"/>
      <c r="C848" s="13" t="s">
        <v>1036</v>
      </c>
      <c r="D848" s="14" t="s">
        <v>20</v>
      </c>
      <c r="E848" s="14" t="s">
        <v>59</v>
      </c>
      <c r="F848" s="13" t="s">
        <v>60</v>
      </c>
      <c r="G848" s="12" t="s">
        <v>49</v>
      </c>
      <c r="H848" s="15"/>
      <c r="I848" s="15"/>
      <c r="J848" s="15">
        <f t="shared" si="17"/>
        <v>0</v>
      </c>
    </row>
    <row r="849" spans="1:10">
      <c r="A849" s="12"/>
      <c r="B849" s="12"/>
      <c r="C849" s="13" t="s">
        <v>1036</v>
      </c>
      <c r="D849" s="14" t="s">
        <v>20</v>
      </c>
      <c r="E849" s="14" t="s">
        <v>106</v>
      </c>
      <c r="F849" s="13" t="s">
        <v>669</v>
      </c>
      <c r="G849" s="12" t="s">
        <v>108</v>
      </c>
      <c r="H849" s="15"/>
      <c r="I849" s="15"/>
      <c r="J849" s="15">
        <f t="shared" si="17"/>
        <v>0</v>
      </c>
    </row>
    <row r="850" ht="28.8" spans="1:10">
      <c r="A850" s="12"/>
      <c r="B850" s="12"/>
      <c r="C850" s="13" t="s">
        <v>1038</v>
      </c>
      <c r="D850" s="14" t="s">
        <v>11</v>
      </c>
      <c r="E850" s="14" t="s">
        <v>24</v>
      </c>
      <c r="F850" s="13" t="s">
        <v>604</v>
      </c>
      <c r="G850" s="12" t="s">
        <v>34</v>
      </c>
      <c r="H850" s="15"/>
      <c r="I850" s="15"/>
      <c r="J850" s="15">
        <f t="shared" si="17"/>
        <v>0</v>
      </c>
    </row>
    <row r="851" ht="28.8" spans="1:10">
      <c r="A851" s="12"/>
      <c r="B851" s="12"/>
      <c r="C851" s="13" t="s">
        <v>1038</v>
      </c>
      <c r="D851" s="14" t="s">
        <v>11</v>
      </c>
      <c r="E851" s="14" t="s">
        <v>24</v>
      </c>
      <c r="F851" s="13" t="s">
        <v>605</v>
      </c>
      <c r="G851" s="12" t="s">
        <v>34</v>
      </c>
      <c r="H851" s="15"/>
      <c r="I851" s="15"/>
      <c r="J851" s="15">
        <f t="shared" si="17"/>
        <v>0</v>
      </c>
    </row>
    <row r="852" ht="28.8" spans="1:10">
      <c r="A852" s="12"/>
      <c r="B852" s="12"/>
      <c r="C852" s="13" t="s">
        <v>1038</v>
      </c>
      <c r="D852" s="14" t="s">
        <v>11</v>
      </c>
      <c r="E852" s="14" t="s">
        <v>24</v>
      </c>
      <c r="F852" s="13" t="s">
        <v>606</v>
      </c>
      <c r="G852" s="12" t="s">
        <v>34</v>
      </c>
      <c r="H852" s="15"/>
      <c r="I852" s="15"/>
      <c r="J852" s="15">
        <f t="shared" si="17"/>
        <v>0</v>
      </c>
    </row>
    <row r="853" ht="28.8" spans="1:10">
      <c r="A853" s="12"/>
      <c r="B853" s="12"/>
      <c r="C853" s="13" t="s">
        <v>1038</v>
      </c>
      <c r="D853" s="14" t="s">
        <v>20</v>
      </c>
      <c r="E853" s="14" t="s">
        <v>47</v>
      </c>
      <c r="F853" s="13" t="s">
        <v>50</v>
      </c>
      <c r="G853" s="12" t="s">
        <v>49</v>
      </c>
      <c r="H853" s="15"/>
      <c r="I853" s="15"/>
      <c r="J853" s="15">
        <f t="shared" si="17"/>
        <v>0</v>
      </c>
    </row>
    <row r="854" ht="28.8" spans="1:10">
      <c r="A854" s="12"/>
      <c r="B854" s="12"/>
      <c r="C854" s="13" t="s">
        <v>1038</v>
      </c>
      <c r="D854" s="14" t="s">
        <v>20</v>
      </c>
      <c r="E854" s="14" t="s">
        <v>61</v>
      </c>
      <c r="F854" s="13" t="s">
        <v>78</v>
      </c>
      <c r="G854" s="12" t="s">
        <v>49</v>
      </c>
      <c r="H854" s="15"/>
      <c r="I854" s="15"/>
      <c r="J854" s="15">
        <f t="shared" si="17"/>
        <v>0</v>
      </c>
    </row>
    <row r="855" ht="28.8" spans="1:10">
      <c r="A855" s="12"/>
      <c r="B855" s="12"/>
      <c r="C855" s="13" t="s">
        <v>1038</v>
      </c>
      <c r="D855" s="14" t="s">
        <v>20</v>
      </c>
      <c r="E855" s="14" t="s">
        <v>61</v>
      </c>
      <c r="F855" s="13" t="s">
        <v>607</v>
      </c>
      <c r="G855" s="12" t="s">
        <v>23</v>
      </c>
      <c r="H855" s="15"/>
      <c r="I855" s="15"/>
      <c r="J855" s="15">
        <f t="shared" si="17"/>
        <v>0</v>
      </c>
    </row>
    <row r="856" ht="28.8" spans="1:10">
      <c r="A856" s="12"/>
      <c r="B856" s="12"/>
      <c r="C856" s="13" t="s">
        <v>1038</v>
      </c>
      <c r="D856" s="14" t="s">
        <v>20</v>
      </c>
      <c r="E856" s="14" t="s">
        <v>84</v>
      </c>
      <c r="F856" s="13" t="s">
        <v>86</v>
      </c>
      <c r="G856" s="12" t="s">
        <v>49</v>
      </c>
      <c r="H856" s="15"/>
      <c r="I856" s="15"/>
      <c r="J856" s="15">
        <f t="shared" si="17"/>
        <v>0</v>
      </c>
    </row>
    <row r="857" ht="28.8" spans="1:10">
      <c r="A857" s="12"/>
      <c r="B857" s="12"/>
      <c r="C857" s="13" t="s">
        <v>1038</v>
      </c>
      <c r="D857" s="14" t="s">
        <v>20</v>
      </c>
      <c r="E857" s="14" t="s">
        <v>84</v>
      </c>
      <c r="F857" s="13" t="s">
        <v>88</v>
      </c>
      <c r="G857" s="12" t="s">
        <v>49</v>
      </c>
      <c r="H857" s="15"/>
      <c r="I857" s="15"/>
      <c r="J857" s="15">
        <f t="shared" si="17"/>
        <v>0</v>
      </c>
    </row>
    <row r="858" ht="28.8" spans="1:10">
      <c r="A858" s="12"/>
      <c r="B858" s="12"/>
      <c r="C858" s="13" t="s">
        <v>1038</v>
      </c>
      <c r="D858" s="14" t="s">
        <v>20</v>
      </c>
      <c r="E858" s="14" t="s">
        <v>84</v>
      </c>
      <c r="F858" s="13" t="s">
        <v>89</v>
      </c>
      <c r="G858" s="12" t="s">
        <v>49</v>
      </c>
      <c r="H858" s="15"/>
      <c r="I858" s="15"/>
      <c r="J858" s="15">
        <f t="shared" si="17"/>
        <v>0</v>
      </c>
    </row>
    <row r="859" ht="28.8" spans="1:10">
      <c r="A859" s="12"/>
      <c r="B859" s="12"/>
      <c r="C859" s="13" t="s">
        <v>1038</v>
      </c>
      <c r="D859" s="14" t="s">
        <v>20</v>
      </c>
      <c r="E859" s="14" t="s">
        <v>84</v>
      </c>
      <c r="F859" s="13" t="s">
        <v>608</v>
      </c>
      <c r="G859" s="12" t="s">
        <v>100</v>
      </c>
      <c r="H859" s="15"/>
      <c r="I859" s="15"/>
      <c r="J859" s="15">
        <f t="shared" si="17"/>
        <v>0</v>
      </c>
    </row>
    <row r="860" ht="28.8" spans="1:10">
      <c r="A860" s="12"/>
      <c r="B860" s="12"/>
      <c r="C860" s="13" t="s">
        <v>1038</v>
      </c>
      <c r="D860" s="14" t="s">
        <v>20</v>
      </c>
      <c r="E860" s="14" t="s">
        <v>84</v>
      </c>
      <c r="F860" s="13" t="s">
        <v>609</v>
      </c>
      <c r="G860" s="12" t="s">
        <v>63</v>
      </c>
      <c r="H860" s="15"/>
      <c r="I860" s="15"/>
      <c r="J860" s="15">
        <f t="shared" si="17"/>
        <v>0</v>
      </c>
    </row>
    <row r="861" ht="28.8" spans="1:10">
      <c r="A861" s="12"/>
      <c r="B861" s="12"/>
      <c r="C861" s="13" t="s">
        <v>1038</v>
      </c>
      <c r="D861" s="14" t="s">
        <v>20</v>
      </c>
      <c r="E861" s="14" t="s">
        <v>84</v>
      </c>
      <c r="F861" s="13" t="s">
        <v>610</v>
      </c>
      <c r="G861" s="12" t="s">
        <v>611</v>
      </c>
      <c r="H861" s="15"/>
      <c r="I861" s="15"/>
      <c r="J861" s="15">
        <f t="shared" si="17"/>
        <v>0</v>
      </c>
    </row>
    <row r="862" ht="28.8" spans="1:10">
      <c r="A862" s="12"/>
      <c r="B862" s="12"/>
      <c r="C862" s="13" t="s">
        <v>1038</v>
      </c>
      <c r="D862" s="14" t="s">
        <v>20</v>
      </c>
      <c r="E862" s="14" t="s">
        <v>84</v>
      </c>
      <c r="F862" s="13" t="s">
        <v>612</v>
      </c>
      <c r="G862" s="12" t="s">
        <v>611</v>
      </c>
      <c r="H862" s="15"/>
      <c r="I862" s="15"/>
      <c r="J862" s="15">
        <f t="shared" si="17"/>
        <v>0</v>
      </c>
    </row>
    <row r="863" ht="43.2" spans="1:10">
      <c r="A863" s="12"/>
      <c r="B863" s="12"/>
      <c r="C863" s="13" t="s">
        <v>1040</v>
      </c>
      <c r="D863" s="14" t="s">
        <v>20</v>
      </c>
      <c r="E863" s="14" t="s">
        <v>47</v>
      </c>
      <c r="F863" s="13" t="s">
        <v>48</v>
      </c>
      <c r="G863" s="12" t="s">
        <v>49</v>
      </c>
      <c r="H863" s="15"/>
      <c r="I863" s="15"/>
      <c r="J863" s="15">
        <f t="shared" si="17"/>
        <v>0</v>
      </c>
    </row>
    <row r="864" ht="43.2" spans="1:10">
      <c r="A864" s="12"/>
      <c r="B864" s="12"/>
      <c r="C864" s="13" t="s">
        <v>1040</v>
      </c>
      <c r="D864" s="14" t="s">
        <v>20</v>
      </c>
      <c r="E864" s="14" t="s">
        <v>624</v>
      </c>
      <c r="F864" s="13" t="s">
        <v>625</v>
      </c>
      <c r="G864" s="12" t="s">
        <v>23</v>
      </c>
      <c r="H864" s="15"/>
      <c r="I864" s="15"/>
      <c r="J864" s="15">
        <f t="shared" si="17"/>
        <v>0</v>
      </c>
    </row>
    <row r="865" ht="43.2" spans="1:10">
      <c r="A865" s="12"/>
      <c r="B865" s="12"/>
      <c r="C865" s="13" t="s">
        <v>1040</v>
      </c>
      <c r="D865" s="14" t="s">
        <v>20</v>
      </c>
      <c r="E865" s="14" t="s">
        <v>624</v>
      </c>
      <c r="F865" s="13" t="s">
        <v>626</v>
      </c>
      <c r="G865" s="12" t="s">
        <v>23</v>
      </c>
      <c r="H865" s="15"/>
      <c r="I865" s="15"/>
      <c r="J865" s="15">
        <f t="shared" si="17"/>
        <v>0</v>
      </c>
    </row>
    <row r="866" ht="43.2" spans="1:10">
      <c r="A866" s="12"/>
      <c r="B866" s="12"/>
      <c r="C866" s="13" t="s">
        <v>1040</v>
      </c>
      <c r="D866" s="14" t="s">
        <v>20</v>
      </c>
      <c r="E866" s="14" t="s">
        <v>624</v>
      </c>
      <c r="F866" s="13" t="s">
        <v>627</v>
      </c>
      <c r="G866" s="12" t="s">
        <v>23</v>
      </c>
      <c r="H866" s="15"/>
      <c r="I866" s="15"/>
      <c r="J866" s="15">
        <f t="shared" si="17"/>
        <v>0</v>
      </c>
    </row>
    <row r="867" ht="43.2" spans="1:10">
      <c r="A867" s="12"/>
      <c r="B867" s="12"/>
      <c r="C867" s="13" t="s">
        <v>1040</v>
      </c>
      <c r="D867" s="14" t="s">
        <v>20</v>
      </c>
      <c r="E867" s="14" t="s">
        <v>624</v>
      </c>
      <c r="F867" s="13" t="s">
        <v>628</v>
      </c>
      <c r="G867" s="12" t="s">
        <v>23</v>
      </c>
      <c r="H867" s="15"/>
      <c r="I867" s="15"/>
      <c r="J867" s="15">
        <f t="shared" si="17"/>
        <v>0</v>
      </c>
    </row>
    <row r="868" ht="43.2" spans="1:10">
      <c r="A868" s="12"/>
      <c r="B868" s="12"/>
      <c r="C868" s="13" t="s">
        <v>1040</v>
      </c>
      <c r="D868" s="14" t="s">
        <v>20</v>
      </c>
      <c r="E868" s="14" t="s">
        <v>624</v>
      </c>
      <c r="F868" s="13" t="s">
        <v>629</v>
      </c>
      <c r="G868" s="12" t="s">
        <v>23</v>
      </c>
      <c r="H868" s="15"/>
      <c r="I868" s="15"/>
      <c r="J868" s="15">
        <f t="shared" si="17"/>
        <v>0</v>
      </c>
    </row>
    <row r="869" ht="43.2" spans="1:10">
      <c r="A869" s="12"/>
      <c r="B869" s="12"/>
      <c r="C869" s="13" t="s">
        <v>1040</v>
      </c>
      <c r="D869" s="14" t="s">
        <v>11</v>
      </c>
      <c r="E869" s="14" t="s">
        <v>630</v>
      </c>
      <c r="F869" s="13" t="s">
        <v>631</v>
      </c>
      <c r="G869" s="12" t="s">
        <v>17</v>
      </c>
      <c r="H869" s="15"/>
      <c r="I869" s="15"/>
      <c r="J869" s="15">
        <f t="shared" si="17"/>
        <v>0</v>
      </c>
    </row>
    <row r="870" spans="1:10">
      <c r="A870" s="12"/>
      <c r="B870" s="12"/>
      <c r="C870" s="13" t="s">
        <v>1042</v>
      </c>
      <c r="D870" s="14" t="s">
        <v>11</v>
      </c>
      <c r="E870" s="14" t="s">
        <v>665</v>
      </c>
      <c r="F870" s="13" t="s">
        <v>666</v>
      </c>
      <c r="G870" s="12" t="s">
        <v>34</v>
      </c>
      <c r="H870" s="15"/>
      <c r="I870" s="15"/>
      <c r="J870" s="15">
        <f t="shared" si="17"/>
        <v>0</v>
      </c>
    </row>
    <row r="871" spans="1:10">
      <c r="A871" s="12"/>
      <c r="B871" s="12"/>
      <c r="C871" s="13" t="s">
        <v>1042</v>
      </c>
      <c r="D871" s="14" t="s">
        <v>11</v>
      </c>
      <c r="E871" s="14" t="s">
        <v>12</v>
      </c>
      <c r="F871" s="13" t="s">
        <v>13</v>
      </c>
      <c r="G871" s="12" t="s">
        <v>14</v>
      </c>
      <c r="H871" s="15"/>
      <c r="I871" s="15"/>
      <c r="J871" s="15">
        <f t="shared" si="17"/>
        <v>0</v>
      </c>
    </row>
    <row r="872" spans="1:10">
      <c r="A872" s="12"/>
      <c r="B872" s="12"/>
      <c r="C872" s="13" t="s">
        <v>1042</v>
      </c>
      <c r="D872" s="14" t="s">
        <v>11</v>
      </c>
      <c r="E872" s="14" t="s">
        <v>12</v>
      </c>
      <c r="F872" s="13" t="s">
        <v>15</v>
      </c>
      <c r="G872" s="12" t="s">
        <v>14</v>
      </c>
      <c r="H872" s="15"/>
      <c r="I872" s="15"/>
      <c r="J872" s="15">
        <f t="shared" si="17"/>
        <v>0</v>
      </c>
    </row>
    <row r="873" spans="1:10">
      <c r="A873" s="12"/>
      <c r="B873" s="12"/>
      <c r="C873" s="13" t="s">
        <v>1042</v>
      </c>
      <c r="D873" s="14" t="s">
        <v>11</v>
      </c>
      <c r="E873" s="14" t="s">
        <v>12</v>
      </c>
      <c r="F873" s="13" t="s">
        <v>28</v>
      </c>
      <c r="G873" s="12" t="s">
        <v>14</v>
      </c>
      <c r="H873" s="15"/>
      <c r="I873" s="15"/>
      <c r="J873" s="15">
        <f t="shared" si="17"/>
        <v>0</v>
      </c>
    </row>
    <row r="874" ht="28.8" spans="1:10">
      <c r="A874" s="12"/>
      <c r="B874" s="12"/>
      <c r="C874" s="13" t="s">
        <v>1042</v>
      </c>
      <c r="D874" s="14" t="s">
        <v>20</v>
      </c>
      <c r="E874" s="14" t="s">
        <v>59</v>
      </c>
      <c r="F874" s="13" t="s">
        <v>667</v>
      </c>
      <c r="G874" s="12" t="s">
        <v>49</v>
      </c>
      <c r="H874" s="15"/>
      <c r="I874" s="15"/>
      <c r="J874" s="15">
        <f t="shared" si="17"/>
        <v>0</v>
      </c>
    </row>
    <row r="875" spans="1:10">
      <c r="A875" s="12"/>
      <c r="B875" s="12"/>
      <c r="C875" s="13" t="s">
        <v>1042</v>
      </c>
      <c r="D875" s="14" t="s">
        <v>20</v>
      </c>
      <c r="E875" s="14" t="s">
        <v>59</v>
      </c>
      <c r="F875" s="13" t="s">
        <v>668</v>
      </c>
      <c r="G875" s="12" t="s">
        <v>49</v>
      </c>
      <c r="H875" s="15"/>
      <c r="I875" s="15"/>
      <c r="J875" s="15">
        <f t="shared" si="17"/>
        <v>0</v>
      </c>
    </row>
    <row r="876" spans="1:10">
      <c r="A876" s="12"/>
      <c r="B876" s="12"/>
      <c r="C876" s="13" t="s">
        <v>1042</v>
      </c>
      <c r="D876" s="14" t="s">
        <v>20</v>
      </c>
      <c r="E876" s="14" t="s">
        <v>59</v>
      </c>
      <c r="F876" s="13" t="s">
        <v>60</v>
      </c>
      <c r="G876" s="12" t="s">
        <v>49</v>
      </c>
      <c r="H876" s="15"/>
      <c r="I876" s="15"/>
      <c r="J876" s="15">
        <f t="shared" si="17"/>
        <v>0</v>
      </c>
    </row>
    <row r="877" spans="1:10">
      <c r="A877" s="12"/>
      <c r="B877" s="12"/>
      <c r="C877" s="13" t="s">
        <v>1042</v>
      </c>
      <c r="D877" s="14" t="s">
        <v>20</v>
      </c>
      <c r="E877" s="14" t="s">
        <v>106</v>
      </c>
      <c r="F877" s="13" t="s">
        <v>672</v>
      </c>
      <c r="G877" s="12" t="s">
        <v>108</v>
      </c>
      <c r="H877" s="15"/>
      <c r="I877" s="15"/>
      <c r="J877" s="15">
        <f t="shared" si="17"/>
        <v>0</v>
      </c>
    </row>
    <row r="878" ht="28.8" spans="1:10">
      <c r="A878" s="12"/>
      <c r="B878" s="12"/>
      <c r="C878" s="13" t="s">
        <v>1044</v>
      </c>
      <c r="D878" s="14" t="s">
        <v>11</v>
      </c>
      <c r="E878" s="14" t="s">
        <v>24</v>
      </c>
      <c r="F878" s="13" t="s">
        <v>604</v>
      </c>
      <c r="G878" s="12" t="s">
        <v>34</v>
      </c>
      <c r="H878" s="15"/>
      <c r="I878" s="15"/>
      <c r="J878" s="15">
        <f t="shared" si="17"/>
        <v>0</v>
      </c>
    </row>
    <row r="879" ht="28.8" spans="1:10">
      <c r="A879" s="12"/>
      <c r="B879" s="12"/>
      <c r="C879" s="13" t="s">
        <v>1044</v>
      </c>
      <c r="D879" s="14" t="s">
        <v>11</v>
      </c>
      <c r="E879" s="14" t="s">
        <v>24</v>
      </c>
      <c r="F879" s="13" t="s">
        <v>605</v>
      </c>
      <c r="G879" s="12" t="s">
        <v>34</v>
      </c>
      <c r="H879" s="15"/>
      <c r="I879" s="15"/>
      <c r="J879" s="15">
        <f t="shared" si="17"/>
        <v>0</v>
      </c>
    </row>
    <row r="880" ht="28.8" spans="1:10">
      <c r="A880" s="12"/>
      <c r="B880" s="12"/>
      <c r="C880" s="13" t="s">
        <v>1044</v>
      </c>
      <c r="D880" s="14" t="s">
        <v>11</v>
      </c>
      <c r="E880" s="14" t="s">
        <v>24</v>
      </c>
      <c r="F880" s="13" t="s">
        <v>606</v>
      </c>
      <c r="G880" s="12" t="s">
        <v>34</v>
      </c>
      <c r="H880" s="15"/>
      <c r="I880" s="15"/>
      <c r="J880" s="15">
        <f t="shared" si="17"/>
        <v>0</v>
      </c>
    </row>
    <row r="881" ht="28.8" spans="1:10">
      <c r="A881" s="12"/>
      <c r="B881" s="12"/>
      <c r="C881" s="13" t="s">
        <v>1044</v>
      </c>
      <c r="D881" s="14" t="s">
        <v>20</v>
      </c>
      <c r="E881" s="14" t="s">
        <v>47</v>
      </c>
      <c r="F881" s="13" t="s">
        <v>50</v>
      </c>
      <c r="G881" s="12" t="s">
        <v>49</v>
      </c>
      <c r="H881" s="15"/>
      <c r="I881" s="15"/>
      <c r="J881" s="15">
        <f t="shared" si="17"/>
        <v>0</v>
      </c>
    </row>
    <row r="882" ht="28.8" spans="1:10">
      <c r="A882" s="12"/>
      <c r="B882" s="12"/>
      <c r="C882" s="13" t="s">
        <v>1044</v>
      </c>
      <c r="D882" s="14" t="s">
        <v>20</v>
      </c>
      <c r="E882" s="14" t="s">
        <v>61</v>
      </c>
      <c r="F882" s="13" t="s">
        <v>78</v>
      </c>
      <c r="G882" s="12" t="s">
        <v>49</v>
      </c>
      <c r="H882" s="15"/>
      <c r="I882" s="15"/>
      <c r="J882" s="15">
        <f t="shared" si="17"/>
        <v>0</v>
      </c>
    </row>
    <row r="883" ht="28.8" spans="1:10">
      <c r="A883" s="12"/>
      <c r="B883" s="12"/>
      <c r="C883" s="13" t="s">
        <v>1044</v>
      </c>
      <c r="D883" s="14" t="s">
        <v>20</v>
      </c>
      <c r="E883" s="14" t="s">
        <v>61</v>
      </c>
      <c r="F883" s="13" t="s">
        <v>607</v>
      </c>
      <c r="G883" s="12" t="s">
        <v>23</v>
      </c>
      <c r="H883" s="15"/>
      <c r="I883" s="15"/>
      <c r="J883" s="15">
        <f t="shared" si="17"/>
        <v>0</v>
      </c>
    </row>
    <row r="884" ht="28.8" spans="1:10">
      <c r="A884" s="12"/>
      <c r="B884" s="12"/>
      <c r="C884" s="13" t="s">
        <v>1044</v>
      </c>
      <c r="D884" s="14" t="s">
        <v>20</v>
      </c>
      <c r="E884" s="14" t="s">
        <v>84</v>
      </c>
      <c r="F884" s="13" t="s">
        <v>86</v>
      </c>
      <c r="G884" s="12" t="s">
        <v>49</v>
      </c>
      <c r="H884" s="15"/>
      <c r="I884" s="15"/>
      <c r="J884" s="15">
        <f t="shared" si="17"/>
        <v>0</v>
      </c>
    </row>
    <row r="885" ht="28.8" spans="1:10">
      <c r="A885" s="12"/>
      <c r="B885" s="12"/>
      <c r="C885" s="13" t="s">
        <v>1044</v>
      </c>
      <c r="D885" s="14" t="s">
        <v>20</v>
      </c>
      <c r="E885" s="14" t="s">
        <v>84</v>
      </c>
      <c r="F885" s="13" t="s">
        <v>88</v>
      </c>
      <c r="G885" s="12" t="s">
        <v>49</v>
      </c>
      <c r="H885" s="15"/>
      <c r="I885" s="15"/>
      <c r="J885" s="15">
        <f t="shared" si="17"/>
        <v>0</v>
      </c>
    </row>
    <row r="886" ht="28.8" spans="1:10">
      <c r="A886" s="12"/>
      <c r="B886" s="12"/>
      <c r="C886" s="13" t="s">
        <v>1044</v>
      </c>
      <c r="D886" s="14" t="s">
        <v>20</v>
      </c>
      <c r="E886" s="14" t="s">
        <v>84</v>
      </c>
      <c r="F886" s="13" t="s">
        <v>89</v>
      </c>
      <c r="G886" s="12" t="s">
        <v>49</v>
      </c>
      <c r="H886" s="15"/>
      <c r="I886" s="15"/>
      <c r="J886" s="15">
        <f t="shared" si="17"/>
        <v>0</v>
      </c>
    </row>
    <row r="887" ht="28.8" spans="1:10">
      <c r="A887" s="12"/>
      <c r="B887" s="12"/>
      <c r="C887" s="13" t="s">
        <v>1044</v>
      </c>
      <c r="D887" s="14" t="s">
        <v>20</v>
      </c>
      <c r="E887" s="14" t="s">
        <v>84</v>
      </c>
      <c r="F887" s="13" t="s">
        <v>608</v>
      </c>
      <c r="G887" s="12" t="s">
        <v>100</v>
      </c>
      <c r="H887" s="15"/>
      <c r="I887" s="15"/>
      <c r="J887" s="15">
        <f t="shared" si="17"/>
        <v>0</v>
      </c>
    </row>
    <row r="888" ht="28.8" spans="1:10">
      <c r="A888" s="12"/>
      <c r="B888" s="12"/>
      <c r="C888" s="13" t="s">
        <v>1044</v>
      </c>
      <c r="D888" s="14" t="s">
        <v>20</v>
      </c>
      <c r="E888" s="14" t="s">
        <v>84</v>
      </c>
      <c r="F888" s="13" t="s">
        <v>609</v>
      </c>
      <c r="G888" s="12" t="s">
        <v>63</v>
      </c>
      <c r="H888" s="15"/>
      <c r="I888" s="15"/>
      <c r="J888" s="15">
        <f t="shared" si="17"/>
        <v>0</v>
      </c>
    </row>
    <row r="889" ht="28.8" spans="1:10">
      <c r="A889" s="12"/>
      <c r="B889" s="12"/>
      <c r="C889" s="13" t="s">
        <v>1044</v>
      </c>
      <c r="D889" s="14" t="s">
        <v>20</v>
      </c>
      <c r="E889" s="14" t="s">
        <v>84</v>
      </c>
      <c r="F889" s="13" t="s">
        <v>610</v>
      </c>
      <c r="G889" s="12" t="s">
        <v>611</v>
      </c>
      <c r="H889" s="15"/>
      <c r="I889" s="15"/>
      <c r="J889" s="15">
        <f t="shared" si="17"/>
        <v>0</v>
      </c>
    </row>
    <row r="890" ht="28.8" spans="1:10">
      <c r="A890" s="12"/>
      <c r="B890" s="12"/>
      <c r="C890" s="13" t="s">
        <v>1044</v>
      </c>
      <c r="D890" s="14" t="s">
        <v>20</v>
      </c>
      <c r="E890" s="14" t="s">
        <v>84</v>
      </c>
      <c r="F890" s="13" t="s">
        <v>612</v>
      </c>
      <c r="G890" s="12" t="s">
        <v>611</v>
      </c>
      <c r="H890" s="15"/>
      <c r="I890" s="15"/>
      <c r="J890" s="15">
        <f t="shared" si="17"/>
        <v>0</v>
      </c>
    </row>
    <row r="891" ht="28.8" spans="1:10">
      <c r="A891" s="12"/>
      <c r="B891" s="12"/>
      <c r="C891" s="13" t="s">
        <v>1046</v>
      </c>
      <c r="D891" s="14" t="s">
        <v>20</v>
      </c>
      <c r="E891" s="14" t="s">
        <v>47</v>
      </c>
      <c r="F891" s="13" t="s">
        <v>48</v>
      </c>
      <c r="G891" s="12" t="s">
        <v>49</v>
      </c>
      <c r="H891" s="15"/>
      <c r="I891" s="15"/>
      <c r="J891" s="15">
        <f t="shared" si="17"/>
        <v>0</v>
      </c>
    </row>
    <row r="892" ht="28.8" spans="1:10">
      <c r="A892" s="12"/>
      <c r="B892" s="12"/>
      <c r="C892" s="13" t="s">
        <v>1046</v>
      </c>
      <c r="D892" s="14" t="s">
        <v>20</v>
      </c>
      <c r="E892" s="14" t="s">
        <v>624</v>
      </c>
      <c r="F892" s="13" t="s">
        <v>625</v>
      </c>
      <c r="G892" s="12" t="s">
        <v>23</v>
      </c>
      <c r="H892" s="15"/>
      <c r="I892" s="15"/>
      <c r="J892" s="15">
        <f t="shared" si="17"/>
        <v>0</v>
      </c>
    </row>
    <row r="893" ht="28.8" spans="1:10">
      <c r="A893" s="12"/>
      <c r="B893" s="12"/>
      <c r="C893" s="13" t="s">
        <v>1046</v>
      </c>
      <c r="D893" s="14" t="s">
        <v>20</v>
      </c>
      <c r="E893" s="14" t="s">
        <v>624</v>
      </c>
      <c r="F893" s="13" t="s">
        <v>626</v>
      </c>
      <c r="G893" s="12" t="s">
        <v>23</v>
      </c>
      <c r="H893" s="15"/>
      <c r="I893" s="15"/>
      <c r="J893" s="15">
        <f t="shared" si="17"/>
        <v>0</v>
      </c>
    </row>
    <row r="894" ht="28.8" spans="1:10">
      <c r="A894" s="12"/>
      <c r="B894" s="12"/>
      <c r="C894" s="13" t="s">
        <v>1046</v>
      </c>
      <c r="D894" s="14" t="s">
        <v>20</v>
      </c>
      <c r="E894" s="14" t="s">
        <v>624</v>
      </c>
      <c r="F894" s="13" t="s">
        <v>627</v>
      </c>
      <c r="G894" s="12" t="s">
        <v>23</v>
      </c>
      <c r="H894" s="15"/>
      <c r="I894" s="15"/>
      <c r="J894" s="15">
        <f t="shared" ref="J894:J957" si="18">+ROUND(PRODUCT(H894*I894),0)</f>
        <v>0</v>
      </c>
    </row>
    <row r="895" ht="28.8" spans="1:10">
      <c r="A895" s="12"/>
      <c r="B895" s="12"/>
      <c r="C895" s="13" t="s">
        <v>1046</v>
      </c>
      <c r="D895" s="14" t="s">
        <v>20</v>
      </c>
      <c r="E895" s="14" t="s">
        <v>624</v>
      </c>
      <c r="F895" s="13" t="s">
        <v>628</v>
      </c>
      <c r="G895" s="12" t="s">
        <v>23</v>
      </c>
      <c r="H895" s="15"/>
      <c r="I895" s="15"/>
      <c r="J895" s="15">
        <f t="shared" si="18"/>
        <v>0</v>
      </c>
    </row>
    <row r="896" ht="28.8" spans="1:10">
      <c r="A896" s="12"/>
      <c r="B896" s="12"/>
      <c r="C896" s="13" t="s">
        <v>1046</v>
      </c>
      <c r="D896" s="14" t="s">
        <v>20</v>
      </c>
      <c r="E896" s="14" t="s">
        <v>624</v>
      </c>
      <c r="F896" s="13" t="s">
        <v>629</v>
      </c>
      <c r="G896" s="12" t="s">
        <v>23</v>
      </c>
      <c r="H896" s="15"/>
      <c r="I896" s="15"/>
      <c r="J896" s="15">
        <f t="shared" si="18"/>
        <v>0</v>
      </c>
    </row>
    <row r="897" ht="28.8" spans="1:10">
      <c r="A897" s="12"/>
      <c r="B897" s="12"/>
      <c r="C897" s="13" t="s">
        <v>1046</v>
      </c>
      <c r="D897" s="14" t="s">
        <v>11</v>
      </c>
      <c r="E897" s="14" t="s">
        <v>630</v>
      </c>
      <c r="F897" s="13" t="s">
        <v>631</v>
      </c>
      <c r="G897" s="12" t="s">
        <v>17</v>
      </c>
      <c r="H897" s="15"/>
      <c r="I897" s="15"/>
      <c r="J897" s="15">
        <f t="shared" si="18"/>
        <v>0</v>
      </c>
    </row>
    <row r="898" ht="28.8" spans="1:10">
      <c r="A898" s="12"/>
      <c r="B898" s="12"/>
      <c r="C898" s="13" t="s">
        <v>1048</v>
      </c>
      <c r="D898" s="14" t="s">
        <v>11</v>
      </c>
      <c r="E898" s="14" t="s">
        <v>12</v>
      </c>
      <c r="F898" s="13" t="s">
        <v>13</v>
      </c>
      <c r="G898" s="12" t="s">
        <v>14</v>
      </c>
      <c r="H898" s="15"/>
      <c r="I898" s="15"/>
      <c r="J898" s="15">
        <f t="shared" si="18"/>
        <v>0</v>
      </c>
    </row>
    <row r="899" ht="28.8" spans="1:10">
      <c r="A899" s="12"/>
      <c r="B899" s="12"/>
      <c r="C899" s="13" t="s">
        <v>1048</v>
      </c>
      <c r="D899" s="14" t="s">
        <v>11</v>
      </c>
      <c r="E899" s="14" t="s">
        <v>12</v>
      </c>
      <c r="F899" s="13" t="s">
        <v>15</v>
      </c>
      <c r="G899" s="12" t="s">
        <v>14</v>
      </c>
      <c r="H899" s="15"/>
      <c r="I899" s="15"/>
      <c r="J899" s="15">
        <f t="shared" si="18"/>
        <v>0</v>
      </c>
    </row>
    <row r="900" ht="28.8" spans="1:10">
      <c r="A900" s="12"/>
      <c r="B900" s="12"/>
      <c r="C900" s="13" t="s">
        <v>1048</v>
      </c>
      <c r="D900" s="14" t="s">
        <v>11</v>
      </c>
      <c r="E900" s="14" t="s">
        <v>12</v>
      </c>
      <c r="F900" s="13" t="s">
        <v>28</v>
      </c>
      <c r="G900" s="12" t="s">
        <v>14</v>
      </c>
      <c r="H900" s="15"/>
      <c r="I900" s="15"/>
      <c r="J900" s="15">
        <f t="shared" si="18"/>
        <v>0</v>
      </c>
    </row>
    <row r="901" ht="28.8" spans="1:10">
      <c r="A901" s="12"/>
      <c r="B901" s="12"/>
      <c r="C901" s="13" t="s">
        <v>1048</v>
      </c>
      <c r="D901" s="14" t="s">
        <v>20</v>
      </c>
      <c r="E901" s="14" t="s">
        <v>106</v>
      </c>
      <c r="F901" s="13" t="s">
        <v>107</v>
      </c>
      <c r="G901" s="12" t="s">
        <v>108</v>
      </c>
      <c r="H901" s="15"/>
      <c r="I901" s="15"/>
      <c r="J901" s="15">
        <f t="shared" si="18"/>
        <v>0</v>
      </c>
    </row>
    <row r="902" ht="28.8" spans="1:10">
      <c r="A902" s="12"/>
      <c r="B902" s="12"/>
      <c r="C902" s="13" t="s">
        <v>1048</v>
      </c>
      <c r="D902" s="14" t="s">
        <v>20</v>
      </c>
      <c r="E902" s="14" t="s">
        <v>596</v>
      </c>
      <c r="F902" s="13" t="s">
        <v>597</v>
      </c>
      <c r="G902" s="12" t="s">
        <v>46</v>
      </c>
      <c r="H902" s="15"/>
      <c r="I902" s="15"/>
      <c r="J902" s="15">
        <f t="shared" si="18"/>
        <v>0</v>
      </c>
    </row>
    <row r="903" spans="1:10">
      <c r="A903" s="12"/>
      <c r="B903" s="12"/>
      <c r="C903" s="13" t="s">
        <v>1050</v>
      </c>
      <c r="D903" s="14" t="s">
        <v>11</v>
      </c>
      <c r="E903" s="14" t="s">
        <v>12</v>
      </c>
      <c r="F903" s="13" t="s">
        <v>13</v>
      </c>
      <c r="G903" s="12" t="s">
        <v>14</v>
      </c>
      <c r="H903" s="15"/>
      <c r="I903" s="15"/>
      <c r="J903" s="15">
        <f t="shared" si="18"/>
        <v>0</v>
      </c>
    </row>
    <row r="904" spans="1:10">
      <c r="A904" s="12"/>
      <c r="B904" s="12"/>
      <c r="C904" s="13" t="s">
        <v>1050</v>
      </c>
      <c r="D904" s="14" t="s">
        <v>11</v>
      </c>
      <c r="E904" s="14" t="s">
        <v>12</v>
      </c>
      <c r="F904" s="13" t="s">
        <v>15</v>
      </c>
      <c r="G904" s="12" t="s">
        <v>14</v>
      </c>
      <c r="H904" s="15"/>
      <c r="I904" s="15"/>
      <c r="J904" s="15">
        <f t="shared" si="18"/>
        <v>0</v>
      </c>
    </row>
    <row r="905" spans="1:10">
      <c r="A905" s="12"/>
      <c r="B905" s="12"/>
      <c r="C905" s="13" t="s">
        <v>1050</v>
      </c>
      <c r="D905" s="14" t="s">
        <v>11</v>
      </c>
      <c r="E905" s="14" t="s">
        <v>12</v>
      </c>
      <c r="F905" s="13" t="s">
        <v>28</v>
      </c>
      <c r="G905" s="12" t="s">
        <v>14</v>
      </c>
      <c r="H905" s="15"/>
      <c r="I905" s="15"/>
      <c r="J905" s="15">
        <f t="shared" si="18"/>
        <v>0</v>
      </c>
    </row>
    <row r="906" spans="1:10">
      <c r="A906" s="12"/>
      <c r="B906" s="12"/>
      <c r="C906" s="13" t="s">
        <v>1050</v>
      </c>
      <c r="D906" s="14" t="s">
        <v>20</v>
      </c>
      <c r="E906" s="14" t="s">
        <v>106</v>
      </c>
      <c r="F906" s="13" t="s">
        <v>107</v>
      </c>
      <c r="G906" s="12" t="s">
        <v>108</v>
      </c>
      <c r="H906" s="15"/>
      <c r="I906" s="15"/>
      <c r="J906" s="15">
        <f t="shared" si="18"/>
        <v>0</v>
      </c>
    </row>
    <row r="907" ht="28.8" spans="1:10">
      <c r="A907" s="12"/>
      <c r="B907" s="12"/>
      <c r="C907" s="13" t="s">
        <v>1052</v>
      </c>
      <c r="D907" s="14" t="s">
        <v>11</v>
      </c>
      <c r="E907" s="14" t="s">
        <v>665</v>
      </c>
      <c r="F907" s="13" t="s">
        <v>666</v>
      </c>
      <c r="G907" s="12" t="s">
        <v>34</v>
      </c>
      <c r="H907" s="15"/>
      <c r="I907" s="15"/>
      <c r="J907" s="15">
        <f t="shared" si="18"/>
        <v>0</v>
      </c>
    </row>
    <row r="908" ht="28.8" spans="1:10">
      <c r="A908" s="12"/>
      <c r="B908" s="12"/>
      <c r="C908" s="13" t="s">
        <v>1052</v>
      </c>
      <c r="D908" s="14" t="s">
        <v>11</v>
      </c>
      <c r="E908" s="14" t="s">
        <v>12</v>
      </c>
      <c r="F908" s="13" t="s">
        <v>13</v>
      </c>
      <c r="G908" s="12" t="s">
        <v>14</v>
      </c>
      <c r="H908" s="15"/>
      <c r="I908" s="15"/>
      <c r="J908" s="15">
        <f t="shared" si="18"/>
        <v>0</v>
      </c>
    </row>
    <row r="909" ht="28.8" spans="1:10">
      <c r="A909" s="12"/>
      <c r="B909" s="12"/>
      <c r="C909" s="13" t="s">
        <v>1052</v>
      </c>
      <c r="D909" s="14" t="s">
        <v>11</v>
      </c>
      <c r="E909" s="14" t="s">
        <v>12</v>
      </c>
      <c r="F909" s="13" t="s">
        <v>15</v>
      </c>
      <c r="G909" s="12" t="s">
        <v>14</v>
      </c>
      <c r="H909" s="15"/>
      <c r="I909" s="15"/>
      <c r="J909" s="15">
        <f t="shared" si="18"/>
        <v>0</v>
      </c>
    </row>
    <row r="910" ht="28.8" spans="1:10">
      <c r="A910" s="12"/>
      <c r="B910" s="12"/>
      <c r="C910" s="13" t="s">
        <v>1052</v>
      </c>
      <c r="D910" s="14" t="s">
        <v>11</v>
      </c>
      <c r="E910" s="14" t="s">
        <v>12</v>
      </c>
      <c r="F910" s="13" t="s">
        <v>28</v>
      </c>
      <c r="G910" s="12" t="s">
        <v>14</v>
      </c>
      <c r="H910" s="15"/>
      <c r="I910" s="15"/>
      <c r="J910" s="15">
        <f t="shared" si="18"/>
        <v>0</v>
      </c>
    </row>
    <row r="911" ht="28.8" spans="1:10">
      <c r="A911" s="12"/>
      <c r="B911" s="12"/>
      <c r="C911" s="13" t="s">
        <v>1052</v>
      </c>
      <c r="D911" s="14" t="s">
        <v>20</v>
      </c>
      <c r="E911" s="14" t="s">
        <v>59</v>
      </c>
      <c r="F911" s="13" t="s">
        <v>667</v>
      </c>
      <c r="G911" s="12" t="s">
        <v>49</v>
      </c>
      <c r="H911" s="15"/>
      <c r="I911" s="15"/>
      <c r="J911" s="15">
        <f t="shared" si="18"/>
        <v>0</v>
      </c>
    </row>
    <row r="912" ht="28.8" spans="1:10">
      <c r="A912" s="12"/>
      <c r="B912" s="12"/>
      <c r="C912" s="13" t="s">
        <v>1052</v>
      </c>
      <c r="D912" s="14" t="s">
        <v>20</v>
      </c>
      <c r="E912" s="14" t="s">
        <v>59</v>
      </c>
      <c r="F912" s="13" t="s">
        <v>668</v>
      </c>
      <c r="G912" s="12" t="s">
        <v>49</v>
      </c>
      <c r="H912" s="15"/>
      <c r="I912" s="15"/>
      <c r="J912" s="15">
        <f t="shared" si="18"/>
        <v>0</v>
      </c>
    </row>
    <row r="913" ht="28.8" spans="1:10">
      <c r="A913" s="12"/>
      <c r="B913" s="12"/>
      <c r="C913" s="13" t="s">
        <v>1052</v>
      </c>
      <c r="D913" s="14" t="s">
        <v>20</v>
      </c>
      <c r="E913" s="14" t="s">
        <v>59</v>
      </c>
      <c r="F913" s="13" t="s">
        <v>60</v>
      </c>
      <c r="G913" s="12" t="s">
        <v>49</v>
      </c>
      <c r="H913" s="15"/>
      <c r="I913" s="15"/>
      <c r="J913" s="15">
        <f t="shared" si="18"/>
        <v>0</v>
      </c>
    </row>
    <row r="914" ht="28.8" spans="1:10">
      <c r="A914" s="12"/>
      <c r="B914" s="12"/>
      <c r="C914" s="13" t="s">
        <v>1052</v>
      </c>
      <c r="D914" s="14" t="s">
        <v>20</v>
      </c>
      <c r="E914" s="14" t="s">
        <v>106</v>
      </c>
      <c r="F914" s="13" t="s">
        <v>838</v>
      </c>
      <c r="G914" s="12" t="s">
        <v>108</v>
      </c>
      <c r="H914" s="15"/>
      <c r="I914" s="15"/>
      <c r="J914" s="15">
        <f t="shared" si="18"/>
        <v>0</v>
      </c>
    </row>
    <row r="915" ht="28.8" spans="1:10">
      <c r="A915" s="12"/>
      <c r="B915" s="12"/>
      <c r="C915" s="13" t="s">
        <v>1054</v>
      </c>
      <c r="D915" s="14" t="s">
        <v>11</v>
      </c>
      <c r="E915" s="14" t="s">
        <v>12</v>
      </c>
      <c r="F915" s="13" t="s">
        <v>13</v>
      </c>
      <c r="G915" s="12" t="s">
        <v>14</v>
      </c>
      <c r="H915" s="15"/>
      <c r="I915" s="15"/>
      <c r="J915" s="15">
        <f t="shared" si="18"/>
        <v>0</v>
      </c>
    </row>
    <row r="916" ht="28.8" spans="1:10">
      <c r="A916" s="12"/>
      <c r="B916" s="12"/>
      <c r="C916" s="13" t="s">
        <v>1054</v>
      </c>
      <c r="D916" s="14" t="s">
        <v>11</v>
      </c>
      <c r="E916" s="14" t="s">
        <v>12</v>
      </c>
      <c r="F916" s="13" t="s">
        <v>15</v>
      </c>
      <c r="G916" s="12" t="s">
        <v>14</v>
      </c>
      <c r="H916" s="15"/>
      <c r="I916" s="15"/>
      <c r="J916" s="15">
        <f t="shared" si="18"/>
        <v>0</v>
      </c>
    </row>
    <row r="917" ht="28.8" spans="1:10">
      <c r="A917" s="12"/>
      <c r="B917" s="12"/>
      <c r="C917" s="13" t="s">
        <v>1054</v>
      </c>
      <c r="D917" s="14" t="s">
        <v>11</v>
      </c>
      <c r="E917" s="14" t="s">
        <v>12</v>
      </c>
      <c r="F917" s="13" t="s">
        <v>28</v>
      </c>
      <c r="G917" s="12" t="s">
        <v>14</v>
      </c>
      <c r="H917" s="15"/>
      <c r="I917" s="15"/>
      <c r="J917" s="15">
        <f t="shared" si="18"/>
        <v>0</v>
      </c>
    </row>
    <row r="918" ht="28.8" spans="1:10">
      <c r="A918" s="12"/>
      <c r="B918" s="12"/>
      <c r="C918" s="13" t="s">
        <v>1054</v>
      </c>
      <c r="D918" s="14" t="s">
        <v>20</v>
      </c>
      <c r="E918" s="14" t="s">
        <v>59</v>
      </c>
      <c r="F918" s="13" t="s">
        <v>667</v>
      </c>
      <c r="G918" s="12" t="s">
        <v>49</v>
      </c>
      <c r="H918" s="15"/>
      <c r="I918" s="15"/>
      <c r="J918" s="15">
        <f t="shared" si="18"/>
        <v>0</v>
      </c>
    </row>
    <row r="919" ht="28.8" spans="1:10">
      <c r="A919" s="12"/>
      <c r="B919" s="12"/>
      <c r="C919" s="13" t="s">
        <v>1054</v>
      </c>
      <c r="D919" s="14" t="s">
        <v>20</v>
      </c>
      <c r="E919" s="14" t="s">
        <v>59</v>
      </c>
      <c r="F919" s="13" t="s">
        <v>668</v>
      </c>
      <c r="G919" s="12" t="s">
        <v>49</v>
      </c>
      <c r="H919" s="15"/>
      <c r="I919" s="15"/>
      <c r="J919" s="15">
        <f t="shared" si="18"/>
        <v>0</v>
      </c>
    </row>
    <row r="920" ht="28.8" spans="1:10">
      <c r="A920" s="12"/>
      <c r="B920" s="12"/>
      <c r="C920" s="13" t="s">
        <v>1054</v>
      </c>
      <c r="D920" s="14" t="s">
        <v>20</v>
      </c>
      <c r="E920" s="14" t="s">
        <v>59</v>
      </c>
      <c r="F920" s="13" t="s">
        <v>60</v>
      </c>
      <c r="G920" s="12" t="s">
        <v>49</v>
      </c>
      <c r="H920" s="15"/>
      <c r="I920" s="15"/>
      <c r="J920" s="15">
        <f t="shared" si="18"/>
        <v>0</v>
      </c>
    </row>
    <row r="921" ht="28.8" spans="1:10">
      <c r="A921" s="12"/>
      <c r="B921" s="12"/>
      <c r="C921" s="13" t="s">
        <v>1054</v>
      </c>
      <c r="D921" s="14" t="s">
        <v>20</v>
      </c>
      <c r="E921" s="14" t="s">
        <v>106</v>
      </c>
      <c r="F921" s="13" t="s">
        <v>873</v>
      </c>
      <c r="G921" s="12" t="s">
        <v>108</v>
      </c>
      <c r="H921" s="15"/>
      <c r="I921" s="15"/>
      <c r="J921" s="15">
        <f t="shared" si="18"/>
        <v>0</v>
      </c>
    </row>
    <row r="922" ht="28.8" spans="1:10">
      <c r="A922" s="12"/>
      <c r="B922" s="12"/>
      <c r="C922" s="13" t="s">
        <v>1056</v>
      </c>
      <c r="D922" s="14" t="s">
        <v>11</v>
      </c>
      <c r="E922" s="14" t="s">
        <v>24</v>
      </c>
      <c r="F922" s="13" t="s">
        <v>604</v>
      </c>
      <c r="G922" s="12" t="s">
        <v>34</v>
      </c>
      <c r="H922" s="15"/>
      <c r="I922" s="15"/>
      <c r="J922" s="15">
        <f t="shared" si="18"/>
        <v>0</v>
      </c>
    </row>
    <row r="923" ht="28.8" spans="1:10">
      <c r="A923" s="12"/>
      <c r="B923" s="12"/>
      <c r="C923" s="13" t="s">
        <v>1056</v>
      </c>
      <c r="D923" s="14" t="s">
        <v>11</v>
      </c>
      <c r="E923" s="14" t="s">
        <v>24</v>
      </c>
      <c r="F923" s="13" t="s">
        <v>605</v>
      </c>
      <c r="G923" s="12" t="s">
        <v>34</v>
      </c>
      <c r="H923" s="15"/>
      <c r="I923" s="15"/>
      <c r="J923" s="15">
        <f t="shared" si="18"/>
        <v>0</v>
      </c>
    </row>
    <row r="924" ht="28.8" spans="1:10">
      <c r="A924" s="12"/>
      <c r="B924" s="12"/>
      <c r="C924" s="13" t="s">
        <v>1056</v>
      </c>
      <c r="D924" s="14" t="s">
        <v>11</v>
      </c>
      <c r="E924" s="14" t="s">
        <v>24</v>
      </c>
      <c r="F924" s="13" t="s">
        <v>606</v>
      </c>
      <c r="G924" s="12" t="s">
        <v>34</v>
      </c>
      <c r="H924" s="15"/>
      <c r="I924" s="15"/>
      <c r="J924" s="15">
        <f t="shared" si="18"/>
        <v>0</v>
      </c>
    </row>
    <row r="925" ht="28.8" spans="1:10">
      <c r="A925" s="12"/>
      <c r="B925" s="12"/>
      <c r="C925" s="13" t="s">
        <v>1056</v>
      </c>
      <c r="D925" s="14" t="s">
        <v>20</v>
      </c>
      <c r="E925" s="14" t="s">
        <v>47</v>
      </c>
      <c r="F925" s="13" t="s">
        <v>50</v>
      </c>
      <c r="G925" s="12" t="s">
        <v>49</v>
      </c>
      <c r="H925" s="15"/>
      <c r="I925" s="15"/>
      <c r="J925" s="15">
        <f t="shared" si="18"/>
        <v>0</v>
      </c>
    </row>
    <row r="926" ht="28.8" spans="1:10">
      <c r="A926" s="12"/>
      <c r="B926" s="12"/>
      <c r="C926" s="13" t="s">
        <v>1056</v>
      </c>
      <c r="D926" s="14" t="s">
        <v>20</v>
      </c>
      <c r="E926" s="14" t="s">
        <v>61</v>
      </c>
      <c r="F926" s="13" t="s">
        <v>78</v>
      </c>
      <c r="G926" s="12" t="s">
        <v>49</v>
      </c>
      <c r="H926" s="15"/>
      <c r="I926" s="15"/>
      <c r="J926" s="15">
        <f t="shared" si="18"/>
        <v>0</v>
      </c>
    </row>
    <row r="927" ht="28.8" spans="1:10">
      <c r="A927" s="12"/>
      <c r="B927" s="12"/>
      <c r="C927" s="13" t="s">
        <v>1056</v>
      </c>
      <c r="D927" s="14" t="s">
        <v>20</v>
      </c>
      <c r="E927" s="14" t="s">
        <v>61</v>
      </c>
      <c r="F927" s="13" t="s">
        <v>607</v>
      </c>
      <c r="G927" s="12" t="s">
        <v>23</v>
      </c>
      <c r="H927" s="15"/>
      <c r="I927" s="15"/>
      <c r="J927" s="15">
        <f t="shared" si="18"/>
        <v>0</v>
      </c>
    </row>
    <row r="928" ht="28.8" spans="1:10">
      <c r="A928" s="12"/>
      <c r="B928" s="12"/>
      <c r="C928" s="13" t="s">
        <v>1056</v>
      </c>
      <c r="D928" s="14" t="s">
        <v>20</v>
      </c>
      <c r="E928" s="14" t="s">
        <v>84</v>
      </c>
      <c r="F928" s="13" t="s">
        <v>86</v>
      </c>
      <c r="G928" s="12" t="s">
        <v>49</v>
      </c>
      <c r="H928" s="15"/>
      <c r="I928" s="15"/>
      <c r="J928" s="15">
        <f t="shared" si="18"/>
        <v>0</v>
      </c>
    </row>
    <row r="929" ht="28.8" spans="1:10">
      <c r="A929" s="12"/>
      <c r="B929" s="12"/>
      <c r="C929" s="13" t="s">
        <v>1056</v>
      </c>
      <c r="D929" s="14" t="s">
        <v>20</v>
      </c>
      <c r="E929" s="14" t="s">
        <v>84</v>
      </c>
      <c r="F929" s="13" t="s">
        <v>88</v>
      </c>
      <c r="G929" s="12" t="s">
        <v>49</v>
      </c>
      <c r="H929" s="15"/>
      <c r="I929" s="15"/>
      <c r="J929" s="15">
        <f t="shared" si="18"/>
        <v>0</v>
      </c>
    </row>
    <row r="930" ht="28.8" spans="1:10">
      <c r="A930" s="12"/>
      <c r="B930" s="12"/>
      <c r="C930" s="13" t="s">
        <v>1056</v>
      </c>
      <c r="D930" s="14" t="s">
        <v>20</v>
      </c>
      <c r="E930" s="14" t="s">
        <v>84</v>
      </c>
      <c r="F930" s="13" t="s">
        <v>89</v>
      </c>
      <c r="G930" s="12" t="s">
        <v>49</v>
      </c>
      <c r="H930" s="15"/>
      <c r="I930" s="15"/>
      <c r="J930" s="15">
        <f t="shared" si="18"/>
        <v>0</v>
      </c>
    </row>
    <row r="931" ht="28.8" spans="1:10">
      <c r="A931" s="12"/>
      <c r="B931" s="12"/>
      <c r="C931" s="13" t="s">
        <v>1056</v>
      </c>
      <c r="D931" s="14" t="s">
        <v>20</v>
      </c>
      <c r="E931" s="14" t="s">
        <v>84</v>
      </c>
      <c r="F931" s="13" t="s">
        <v>608</v>
      </c>
      <c r="G931" s="12" t="s">
        <v>100</v>
      </c>
      <c r="H931" s="15"/>
      <c r="I931" s="15"/>
      <c r="J931" s="15">
        <f t="shared" si="18"/>
        <v>0</v>
      </c>
    </row>
    <row r="932" ht="28.8" spans="1:10">
      <c r="A932" s="12"/>
      <c r="B932" s="12"/>
      <c r="C932" s="13" t="s">
        <v>1056</v>
      </c>
      <c r="D932" s="14" t="s">
        <v>20</v>
      </c>
      <c r="E932" s="14" t="s">
        <v>84</v>
      </c>
      <c r="F932" s="13" t="s">
        <v>609</v>
      </c>
      <c r="G932" s="12" t="s">
        <v>63</v>
      </c>
      <c r="H932" s="15"/>
      <c r="I932" s="15"/>
      <c r="J932" s="15">
        <f t="shared" si="18"/>
        <v>0</v>
      </c>
    </row>
    <row r="933" ht="28.8" spans="1:10">
      <c r="A933" s="12"/>
      <c r="B933" s="12"/>
      <c r="C933" s="13" t="s">
        <v>1056</v>
      </c>
      <c r="D933" s="14" t="s">
        <v>20</v>
      </c>
      <c r="E933" s="14" t="s">
        <v>84</v>
      </c>
      <c r="F933" s="13" t="s">
        <v>610</v>
      </c>
      <c r="G933" s="12" t="s">
        <v>611</v>
      </c>
      <c r="H933" s="15"/>
      <c r="I933" s="15"/>
      <c r="J933" s="15">
        <f t="shared" si="18"/>
        <v>0</v>
      </c>
    </row>
    <row r="934" ht="28.8" spans="1:10">
      <c r="A934" s="12"/>
      <c r="B934" s="12"/>
      <c r="C934" s="13" t="s">
        <v>1056</v>
      </c>
      <c r="D934" s="14" t="s">
        <v>20</v>
      </c>
      <c r="E934" s="14" t="s">
        <v>84</v>
      </c>
      <c r="F934" s="13" t="s">
        <v>612</v>
      </c>
      <c r="G934" s="12" t="s">
        <v>611</v>
      </c>
      <c r="H934" s="15"/>
      <c r="I934" s="15"/>
      <c r="J934" s="15">
        <f t="shared" si="18"/>
        <v>0</v>
      </c>
    </row>
    <row r="935" ht="43.2" spans="1:10">
      <c r="A935" s="12"/>
      <c r="B935" s="12"/>
      <c r="C935" s="13" t="s">
        <v>1058</v>
      </c>
      <c r="D935" s="14" t="s">
        <v>20</v>
      </c>
      <c r="E935" s="14" t="s">
        <v>47</v>
      </c>
      <c r="F935" s="13" t="s">
        <v>48</v>
      </c>
      <c r="G935" s="12" t="s">
        <v>49</v>
      </c>
      <c r="H935" s="15"/>
      <c r="I935" s="15"/>
      <c r="J935" s="15">
        <f t="shared" si="18"/>
        <v>0</v>
      </c>
    </row>
    <row r="936" ht="43.2" spans="1:10">
      <c r="A936" s="12"/>
      <c r="B936" s="12"/>
      <c r="C936" s="13" t="s">
        <v>1058</v>
      </c>
      <c r="D936" s="14" t="s">
        <v>20</v>
      </c>
      <c r="E936" s="14" t="s">
        <v>624</v>
      </c>
      <c r="F936" s="13" t="s">
        <v>625</v>
      </c>
      <c r="G936" s="12" t="s">
        <v>23</v>
      </c>
      <c r="H936" s="15"/>
      <c r="I936" s="15"/>
      <c r="J936" s="15">
        <f t="shared" si="18"/>
        <v>0</v>
      </c>
    </row>
    <row r="937" ht="43.2" spans="1:10">
      <c r="A937" s="12"/>
      <c r="B937" s="12"/>
      <c r="C937" s="13" t="s">
        <v>1058</v>
      </c>
      <c r="D937" s="14" t="s">
        <v>20</v>
      </c>
      <c r="E937" s="14" t="s">
        <v>624</v>
      </c>
      <c r="F937" s="13" t="s">
        <v>626</v>
      </c>
      <c r="G937" s="12" t="s">
        <v>23</v>
      </c>
      <c r="H937" s="15"/>
      <c r="I937" s="15"/>
      <c r="J937" s="15">
        <f t="shared" si="18"/>
        <v>0</v>
      </c>
    </row>
    <row r="938" ht="43.2" spans="1:10">
      <c r="A938" s="12"/>
      <c r="B938" s="12"/>
      <c r="C938" s="13" t="s">
        <v>1058</v>
      </c>
      <c r="D938" s="14" t="s">
        <v>20</v>
      </c>
      <c r="E938" s="14" t="s">
        <v>624</v>
      </c>
      <c r="F938" s="13" t="s">
        <v>627</v>
      </c>
      <c r="G938" s="12" t="s">
        <v>23</v>
      </c>
      <c r="H938" s="15"/>
      <c r="I938" s="15"/>
      <c r="J938" s="15">
        <f t="shared" si="18"/>
        <v>0</v>
      </c>
    </row>
    <row r="939" ht="43.2" spans="1:10">
      <c r="A939" s="12"/>
      <c r="B939" s="12"/>
      <c r="C939" s="13" t="s">
        <v>1058</v>
      </c>
      <c r="D939" s="14" t="s">
        <v>20</v>
      </c>
      <c r="E939" s="14" t="s">
        <v>624</v>
      </c>
      <c r="F939" s="13" t="s">
        <v>628</v>
      </c>
      <c r="G939" s="12" t="s">
        <v>23</v>
      </c>
      <c r="H939" s="15"/>
      <c r="I939" s="15"/>
      <c r="J939" s="15">
        <f t="shared" si="18"/>
        <v>0</v>
      </c>
    </row>
    <row r="940" ht="43.2" spans="1:10">
      <c r="A940" s="12"/>
      <c r="B940" s="12"/>
      <c r="C940" s="13" t="s">
        <v>1058</v>
      </c>
      <c r="D940" s="14" t="s">
        <v>20</v>
      </c>
      <c r="E940" s="14" t="s">
        <v>624</v>
      </c>
      <c r="F940" s="13" t="s">
        <v>629</v>
      </c>
      <c r="G940" s="12" t="s">
        <v>23</v>
      </c>
      <c r="H940" s="15"/>
      <c r="I940" s="15"/>
      <c r="J940" s="15">
        <f t="shared" si="18"/>
        <v>0</v>
      </c>
    </row>
    <row r="941" ht="43.2" spans="1:10">
      <c r="A941" s="12"/>
      <c r="B941" s="12"/>
      <c r="C941" s="13" t="s">
        <v>1058</v>
      </c>
      <c r="D941" s="14" t="s">
        <v>11</v>
      </c>
      <c r="E941" s="14" t="s">
        <v>630</v>
      </c>
      <c r="F941" s="13" t="s">
        <v>631</v>
      </c>
      <c r="G941" s="12" t="s">
        <v>17</v>
      </c>
      <c r="H941" s="15"/>
      <c r="I941" s="15"/>
      <c r="J941" s="15">
        <f t="shared" si="18"/>
        <v>0</v>
      </c>
    </row>
    <row r="942" spans="1:10">
      <c r="A942" s="12"/>
      <c r="B942" s="12"/>
      <c r="C942" s="13" t="s">
        <v>1060</v>
      </c>
      <c r="D942" s="14" t="s">
        <v>20</v>
      </c>
      <c r="E942" s="14" t="s">
        <v>102</v>
      </c>
      <c r="F942" s="13" t="s">
        <v>103</v>
      </c>
      <c r="G942" s="12" t="s">
        <v>46</v>
      </c>
      <c r="H942" s="15"/>
      <c r="I942" s="15"/>
      <c r="J942" s="15">
        <f t="shared" si="18"/>
        <v>0</v>
      </c>
    </row>
    <row r="943" spans="1:10">
      <c r="A943" s="12"/>
      <c r="B943" s="12"/>
      <c r="C943" s="13" t="s">
        <v>1060</v>
      </c>
      <c r="D943" s="14" t="s">
        <v>20</v>
      </c>
      <c r="E943" s="14" t="s">
        <v>596</v>
      </c>
      <c r="F943" s="13" t="s">
        <v>597</v>
      </c>
      <c r="G943" s="12" t="s">
        <v>46</v>
      </c>
      <c r="H943" s="15"/>
      <c r="I943" s="15"/>
      <c r="J943" s="15">
        <f t="shared" si="18"/>
        <v>0</v>
      </c>
    </row>
    <row r="944" spans="1:10">
      <c r="A944" s="12"/>
      <c r="B944" s="12"/>
      <c r="C944" s="13" t="s">
        <v>1060</v>
      </c>
      <c r="D944" s="14" t="s">
        <v>11</v>
      </c>
      <c r="E944" s="14" t="s">
        <v>598</v>
      </c>
      <c r="F944" s="13" t="s">
        <v>599</v>
      </c>
      <c r="G944" s="12" t="s">
        <v>34</v>
      </c>
      <c r="H944" s="15"/>
      <c r="I944" s="15"/>
      <c r="J944" s="15">
        <f t="shared" si="18"/>
        <v>0</v>
      </c>
    </row>
    <row r="945" spans="1:10">
      <c r="A945" s="12"/>
      <c r="B945" s="12"/>
      <c r="C945" s="13" t="s">
        <v>1060</v>
      </c>
      <c r="D945" s="14" t="s">
        <v>20</v>
      </c>
      <c r="E945" s="14" t="s">
        <v>600</v>
      </c>
      <c r="F945" s="13" t="s">
        <v>601</v>
      </c>
      <c r="G945" s="12" t="s">
        <v>63</v>
      </c>
      <c r="H945" s="15"/>
      <c r="I945" s="15"/>
      <c r="J945" s="15">
        <f t="shared" si="18"/>
        <v>0</v>
      </c>
    </row>
    <row r="946" ht="28.8" spans="1:10">
      <c r="A946" s="12"/>
      <c r="B946" s="12"/>
      <c r="C946" s="13" t="s">
        <v>1062</v>
      </c>
      <c r="D946" s="14" t="s">
        <v>11</v>
      </c>
      <c r="E946" s="14" t="s">
        <v>24</v>
      </c>
      <c r="F946" s="13" t="s">
        <v>604</v>
      </c>
      <c r="G946" s="12" t="s">
        <v>34</v>
      </c>
      <c r="H946" s="15"/>
      <c r="I946" s="15"/>
      <c r="J946" s="15">
        <f t="shared" si="18"/>
        <v>0</v>
      </c>
    </row>
    <row r="947" ht="28.8" spans="1:10">
      <c r="A947" s="12"/>
      <c r="B947" s="12"/>
      <c r="C947" s="13" t="s">
        <v>1062</v>
      </c>
      <c r="D947" s="14" t="s">
        <v>11</v>
      </c>
      <c r="E947" s="14" t="s">
        <v>24</v>
      </c>
      <c r="F947" s="13" t="s">
        <v>605</v>
      </c>
      <c r="G947" s="12" t="s">
        <v>34</v>
      </c>
      <c r="H947" s="15"/>
      <c r="I947" s="15"/>
      <c r="J947" s="15">
        <f t="shared" si="18"/>
        <v>0</v>
      </c>
    </row>
    <row r="948" ht="28.8" spans="1:10">
      <c r="A948" s="12"/>
      <c r="B948" s="12"/>
      <c r="C948" s="13" t="s">
        <v>1062</v>
      </c>
      <c r="D948" s="14" t="s">
        <v>11</v>
      </c>
      <c r="E948" s="14" t="s">
        <v>24</v>
      </c>
      <c r="F948" s="13" t="s">
        <v>606</v>
      </c>
      <c r="G948" s="12" t="s">
        <v>34</v>
      </c>
      <c r="H948" s="15"/>
      <c r="I948" s="15"/>
      <c r="J948" s="15">
        <f t="shared" si="18"/>
        <v>0</v>
      </c>
    </row>
    <row r="949" ht="28.8" spans="1:10">
      <c r="A949" s="12"/>
      <c r="B949" s="12"/>
      <c r="C949" s="13" t="s">
        <v>1062</v>
      </c>
      <c r="D949" s="14" t="s">
        <v>20</v>
      </c>
      <c r="E949" s="14" t="s">
        <v>47</v>
      </c>
      <c r="F949" s="13" t="s">
        <v>50</v>
      </c>
      <c r="G949" s="12" t="s">
        <v>49</v>
      </c>
      <c r="H949" s="15"/>
      <c r="I949" s="15"/>
      <c r="J949" s="15">
        <f t="shared" si="18"/>
        <v>0</v>
      </c>
    </row>
    <row r="950" ht="28.8" spans="1:10">
      <c r="A950" s="12"/>
      <c r="B950" s="12"/>
      <c r="C950" s="13" t="s">
        <v>1062</v>
      </c>
      <c r="D950" s="14" t="s">
        <v>20</v>
      </c>
      <c r="E950" s="14" t="s">
        <v>61</v>
      </c>
      <c r="F950" s="13" t="s">
        <v>78</v>
      </c>
      <c r="G950" s="12" t="s">
        <v>49</v>
      </c>
      <c r="H950" s="15"/>
      <c r="I950" s="15"/>
      <c r="J950" s="15">
        <f t="shared" si="18"/>
        <v>0</v>
      </c>
    </row>
    <row r="951" ht="28.8" spans="1:10">
      <c r="A951" s="12"/>
      <c r="B951" s="12"/>
      <c r="C951" s="13" t="s">
        <v>1062</v>
      </c>
      <c r="D951" s="14" t="s">
        <v>20</v>
      </c>
      <c r="E951" s="14" t="s">
        <v>61</v>
      </c>
      <c r="F951" s="13" t="s">
        <v>607</v>
      </c>
      <c r="G951" s="12" t="s">
        <v>23</v>
      </c>
      <c r="H951" s="15"/>
      <c r="I951" s="15"/>
      <c r="J951" s="15">
        <f t="shared" si="18"/>
        <v>0</v>
      </c>
    </row>
    <row r="952" ht="28.8" spans="1:10">
      <c r="A952" s="12"/>
      <c r="B952" s="12"/>
      <c r="C952" s="13" t="s">
        <v>1062</v>
      </c>
      <c r="D952" s="14" t="s">
        <v>20</v>
      </c>
      <c r="E952" s="14" t="s">
        <v>84</v>
      </c>
      <c r="F952" s="13" t="s">
        <v>86</v>
      </c>
      <c r="G952" s="12" t="s">
        <v>49</v>
      </c>
      <c r="H952" s="15"/>
      <c r="I952" s="15"/>
      <c r="J952" s="15">
        <f t="shared" si="18"/>
        <v>0</v>
      </c>
    </row>
    <row r="953" ht="28.8" spans="1:10">
      <c r="A953" s="12"/>
      <c r="B953" s="12"/>
      <c r="C953" s="13" t="s">
        <v>1062</v>
      </c>
      <c r="D953" s="14" t="s">
        <v>20</v>
      </c>
      <c r="E953" s="14" t="s">
        <v>84</v>
      </c>
      <c r="F953" s="13" t="s">
        <v>88</v>
      </c>
      <c r="G953" s="12" t="s">
        <v>49</v>
      </c>
      <c r="H953" s="15"/>
      <c r="I953" s="15"/>
      <c r="J953" s="15">
        <f t="shared" si="18"/>
        <v>0</v>
      </c>
    </row>
    <row r="954" ht="28.8" spans="1:10">
      <c r="A954" s="12"/>
      <c r="B954" s="12"/>
      <c r="C954" s="13" t="s">
        <v>1062</v>
      </c>
      <c r="D954" s="14" t="s">
        <v>20</v>
      </c>
      <c r="E954" s="14" t="s">
        <v>84</v>
      </c>
      <c r="F954" s="13" t="s">
        <v>89</v>
      </c>
      <c r="G954" s="12" t="s">
        <v>49</v>
      </c>
      <c r="H954" s="15"/>
      <c r="I954" s="15"/>
      <c r="J954" s="15">
        <f t="shared" si="18"/>
        <v>0</v>
      </c>
    </row>
    <row r="955" ht="28.8" spans="1:10">
      <c r="A955" s="12"/>
      <c r="B955" s="12"/>
      <c r="C955" s="13" t="s">
        <v>1062</v>
      </c>
      <c r="D955" s="14" t="s">
        <v>20</v>
      </c>
      <c r="E955" s="14" t="s">
        <v>84</v>
      </c>
      <c r="F955" s="13" t="s">
        <v>608</v>
      </c>
      <c r="G955" s="12" t="s">
        <v>100</v>
      </c>
      <c r="H955" s="15"/>
      <c r="I955" s="15"/>
      <c r="J955" s="15">
        <f t="shared" si="18"/>
        <v>0</v>
      </c>
    </row>
    <row r="956" ht="28.8" spans="1:10">
      <c r="A956" s="12"/>
      <c r="B956" s="12"/>
      <c r="C956" s="13" t="s">
        <v>1062</v>
      </c>
      <c r="D956" s="14" t="s">
        <v>20</v>
      </c>
      <c r="E956" s="14" t="s">
        <v>84</v>
      </c>
      <c r="F956" s="13" t="s">
        <v>609</v>
      </c>
      <c r="G956" s="12" t="s">
        <v>63</v>
      </c>
      <c r="H956" s="15"/>
      <c r="I956" s="15"/>
      <c r="J956" s="15">
        <f t="shared" si="18"/>
        <v>0</v>
      </c>
    </row>
    <row r="957" ht="28.8" spans="1:10">
      <c r="A957" s="12"/>
      <c r="B957" s="12"/>
      <c r="C957" s="13" t="s">
        <v>1062</v>
      </c>
      <c r="D957" s="14" t="s">
        <v>20</v>
      </c>
      <c r="E957" s="14" t="s">
        <v>84</v>
      </c>
      <c r="F957" s="13" t="s">
        <v>610</v>
      </c>
      <c r="G957" s="12" t="s">
        <v>611</v>
      </c>
      <c r="H957" s="15"/>
      <c r="I957" s="15"/>
      <c r="J957" s="15">
        <f t="shared" si="18"/>
        <v>0</v>
      </c>
    </row>
    <row r="958" ht="28.8" spans="1:10">
      <c r="A958" s="12"/>
      <c r="B958" s="12"/>
      <c r="C958" s="13" t="s">
        <v>1062</v>
      </c>
      <c r="D958" s="14" t="s">
        <v>20</v>
      </c>
      <c r="E958" s="14" t="s">
        <v>84</v>
      </c>
      <c r="F958" s="13" t="s">
        <v>612</v>
      </c>
      <c r="G958" s="12" t="s">
        <v>611</v>
      </c>
      <c r="H958" s="15"/>
      <c r="I958" s="15"/>
      <c r="J958" s="15">
        <f t="shared" ref="J958:J1021" si="19">+ROUND(PRODUCT(H958*I958),0)</f>
        <v>0</v>
      </c>
    </row>
    <row r="959" ht="28.8" spans="1:10">
      <c r="A959" s="12"/>
      <c r="B959" s="12"/>
      <c r="C959" s="13" t="s">
        <v>1062</v>
      </c>
      <c r="D959" s="14" t="s">
        <v>11</v>
      </c>
      <c r="E959" s="14" t="s">
        <v>613</v>
      </c>
      <c r="F959" s="13" t="s">
        <v>614</v>
      </c>
      <c r="G959" s="12" t="s">
        <v>108</v>
      </c>
      <c r="H959" s="15"/>
      <c r="I959" s="15"/>
      <c r="J959" s="15">
        <f t="shared" si="19"/>
        <v>0</v>
      </c>
    </row>
    <row r="960" ht="28.8" spans="1:10">
      <c r="A960" s="12"/>
      <c r="B960" s="12"/>
      <c r="C960" s="13" t="s">
        <v>1062</v>
      </c>
      <c r="D960" s="14" t="s">
        <v>11</v>
      </c>
      <c r="E960" s="14" t="s">
        <v>613</v>
      </c>
      <c r="F960" s="13" t="s">
        <v>615</v>
      </c>
      <c r="G960" s="12" t="s">
        <v>108</v>
      </c>
      <c r="H960" s="15"/>
      <c r="I960" s="15"/>
      <c r="J960" s="15">
        <f t="shared" si="19"/>
        <v>0</v>
      </c>
    </row>
    <row r="961" ht="28.8" spans="1:10">
      <c r="A961" s="12"/>
      <c r="B961" s="12"/>
      <c r="C961" s="13" t="s">
        <v>1064</v>
      </c>
      <c r="D961" s="14" t="s">
        <v>11</v>
      </c>
      <c r="E961" s="14" t="s">
        <v>618</v>
      </c>
      <c r="F961" s="13" t="s">
        <v>619</v>
      </c>
      <c r="G961" s="12" t="s">
        <v>23</v>
      </c>
      <c r="H961" s="15"/>
      <c r="I961" s="15"/>
      <c r="J961" s="15">
        <f t="shared" si="19"/>
        <v>0</v>
      </c>
    </row>
    <row r="962" ht="28.8" spans="1:10">
      <c r="A962" s="12"/>
      <c r="B962" s="12"/>
      <c r="C962" s="13" t="s">
        <v>1064</v>
      </c>
      <c r="D962" s="14" t="s">
        <v>11</v>
      </c>
      <c r="E962" s="14" t="s">
        <v>618</v>
      </c>
      <c r="F962" s="13" t="s">
        <v>620</v>
      </c>
      <c r="G962" s="12" t="s">
        <v>23</v>
      </c>
      <c r="H962" s="15"/>
      <c r="I962" s="15"/>
      <c r="J962" s="15">
        <f t="shared" si="19"/>
        <v>0</v>
      </c>
    </row>
    <row r="963" ht="28.8" spans="1:10">
      <c r="A963" s="12"/>
      <c r="B963" s="12"/>
      <c r="C963" s="13" t="s">
        <v>1064</v>
      </c>
      <c r="D963" s="14" t="s">
        <v>11</v>
      </c>
      <c r="E963" s="14" t="s">
        <v>618</v>
      </c>
      <c r="F963" s="13" t="s">
        <v>621</v>
      </c>
      <c r="G963" s="12" t="s">
        <v>23</v>
      </c>
      <c r="H963" s="15"/>
      <c r="I963" s="15"/>
      <c r="J963" s="15">
        <f t="shared" si="19"/>
        <v>0</v>
      </c>
    </row>
    <row r="964" ht="28.8" spans="1:10">
      <c r="A964" s="12"/>
      <c r="B964" s="12"/>
      <c r="C964" s="13" t="s">
        <v>1066</v>
      </c>
      <c r="D964" s="14" t="s">
        <v>20</v>
      </c>
      <c r="E964" s="14" t="s">
        <v>47</v>
      </c>
      <c r="F964" s="13" t="s">
        <v>48</v>
      </c>
      <c r="G964" s="12" t="s">
        <v>49</v>
      </c>
      <c r="H964" s="15"/>
      <c r="I964" s="15"/>
      <c r="J964" s="15">
        <f t="shared" si="19"/>
        <v>0</v>
      </c>
    </row>
    <row r="965" ht="28.8" spans="1:10">
      <c r="A965" s="12"/>
      <c r="B965" s="12"/>
      <c r="C965" s="13" t="s">
        <v>1066</v>
      </c>
      <c r="D965" s="14" t="s">
        <v>20</v>
      </c>
      <c r="E965" s="14" t="s">
        <v>624</v>
      </c>
      <c r="F965" s="13" t="s">
        <v>625</v>
      </c>
      <c r="G965" s="12" t="s">
        <v>23</v>
      </c>
      <c r="H965" s="15"/>
      <c r="I965" s="15"/>
      <c r="J965" s="15">
        <f t="shared" si="19"/>
        <v>0</v>
      </c>
    </row>
    <row r="966" ht="28.8" spans="1:10">
      <c r="A966" s="12"/>
      <c r="B966" s="12"/>
      <c r="C966" s="13" t="s">
        <v>1066</v>
      </c>
      <c r="D966" s="14" t="s">
        <v>20</v>
      </c>
      <c r="E966" s="14" t="s">
        <v>624</v>
      </c>
      <c r="F966" s="13" t="s">
        <v>626</v>
      </c>
      <c r="G966" s="12" t="s">
        <v>23</v>
      </c>
      <c r="H966" s="15"/>
      <c r="I966" s="15"/>
      <c r="J966" s="15">
        <f t="shared" si="19"/>
        <v>0</v>
      </c>
    </row>
    <row r="967" ht="28.8" spans="1:10">
      <c r="A967" s="12"/>
      <c r="B967" s="12"/>
      <c r="C967" s="13" t="s">
        <v>1066</v>
      </c>
      <c r="D967" s="14" t="s">
        <v>20</v>
      </c>
      <c r="E967" s="14" t="s">
        <v>624</v>
      </c>
      <c r="F967" s="13" t="s">
        <v>627</v>
      </c>
      <c r="G967" s="12" t="s">
        <v>23</v>
      </c>
      <c r="H967" s="15"/>
      <c r="I967" s="15"/>
      <c r="J967" s="15">
        <f t="shared" si="19"/>
        <v>0</v>
      </c>
    </row>
    <row r="968" ht="28.8" spans="1:10">
      <c r="A968" s="12"/>
      <c r="B968" s="12"/>
      <c r="C968" s="13" t="s">
        <v>1066</v>
      </c>
      <c r="D968" s="14" t="s">
        <v>20</v>
      </c>
      <c r="E968" s="14" t="s">
        <v>624</v>
      </c>
      <c r="F968" s="13" t="s">
        <v>628</v>
      </c>
      <c r="G968" s="12" t="s">
        <v>23</v>
      </c>
      <c r="H968" s="15"/>
      <c r="I968" s="15"/>
      <c r="J968" s="15">
        <f t="shared" si="19"/>
        <v>0</v>
      </c>
    </row>
    <row r="969" ht="28.8" spans="1:10">
      <c r="A969" s="12"/>
      <c r="B969" s="12"/>
      <c r="C969" s="13" t="s">
        <v>1066</v>
      </c>
      <c r="D969" s="14" t="s">
        <v>20</v>
      </c>
      <c r="E969" s="14" t="s">
        <v>624</v>
      </c>
      <c r="F969" s="13" t="s">
        <v>629</v>
      </c>
      <c r="G969" s="12" t="s">
        <v>23</v>
      </c>
      <c r="H969" s="15"/>
      <c r="I969" s="15"/>
      <c r="J969" s="15">
        <f t="shared" si="19"/>
        <v>0</v>
      </c>
    </row>
    <row r="970" ht="28.8" spans="1:10">
      <c r="A970" s="12"/>
      <c r="B970" s="12"/>
      <c r="C970" s="13" t="s">
        <v>1066</v>
      </c>
      <c r="D970" s="14" t="s">
        <v>11</v>
      </c>
      <c r="E970" s="14" t="s">
        <v>630</v>
      </c>
      <c r="F970" s="13" t="s">
        <v>631</v>
      </c>
      <c r="G970" s="12" t="s">
        <v>17</v>
      </c>
      <c r="H970" s="15"/>
      <c r="I970" s="15"/>
      <c r="J970" s="15">
        <f t="shared" si="19"/>
        <v>0</v>
      </c>
    </row>
    <row r="971" ht="28.8" spans="1:10">
      <c r="A971" s="12"/>
      <c r="B971" s="12"/>
      <c r="C971" s="13" t="s">
        <v>1068</v>
      </c>
      <c r="D971" s="14" t="s">
        <v>11</v>
      </c>
      <c r="E971" s="14" t="s">
        <v>634</v>
      </c>
      <c r="F971" s="13" t="s">
        <v>635</v>
      </c>
      <c r="G971" s="12" t="s">
        <v>23</v>
      </c>
      <c r="H971" s="15"/>
      <c r="I971" s="15"/>
      <c r="J971" s="15">
        <f t="shared" si="19"/>
        <v>0</v>
      </c>
    </row>
    <row r="972" ht="28.8" spans="1:10">
      <c r="A972" s="12"/>
      <c r="B972" s="12"/>
      <c r="C972" s="13" t="s">
        <v>1068</v>
      </c>
      <c r="D972" s="14" t="s">
        <v>20</v>
      </c>
      <c r="E972" s="14" t="s">
        <v>636</v>
      </c>
      <c r="F972" s="13" t="s">
        <v>637</v>
      </c>
      <c r="G972" s="12" t="s">
        <v>23</v>
      </c>
      <c r="H972" s="15"/>
      <c r="I972" s="15"/>
      <c r="J972" s="15">
        <f t="shared" si="19"/>
        <v>0</v>
      </c>
    </row>
    <row r="973" ht="28.8" spans="1:10">
      <c r="A973" s="12"/>
      <c r="B973" s="12"/>
      <c r="C973" s="13" t="s">
        <v>1070</v>
      </c>
      <c r="D973" s="14" t="s">
        <v>11</v>
      </c>
      <c r="E973" s="14" t="s">
        <v>634</v>
      </c>
      <c r="F973" s="13" t="s">
        <v>640</v>
      </c>
      <c r="G973" s="12" t="s">
        <v>23</v>
      </c>
      <c r="H973" s="15"/>
      <c r="I973" s="15"/>
      <c r="J973" s="15">
        <f t="shared" si="19"/>
        <v>0</v>
      </c>
    </row>
    <row r="974" ht="28.8" spans="1:10">
      <c r="A974" s="12"/>
      <c r="B974" s="12"/>
      <c r="C974" s="13" t="s">
        <v>1070</v>
      </c>
      <c r="D974" s="14" t="s">
        <v>20</v>
      </c>
      <c r="E974" s="14" t="s">
        <v>636</v>
      </c>
      <c r="F974" s="13" t="s">
        <v>641</v>
      </c>
      <c r="G974" s="12" t="s">
        <v>23</v>
      </c>
      <c r="H974" s="15"/>
      <c r="I974" s="15"/>
      <c r="J974" s="15">
        <f t="shared" si="19"/>
        <v>0</v>
      </c>
    </row>
    <row r="975" ht="28.8" spans="1:10">
      <c r="A975" s="12"/>
      <c r="B975" s="12"/>
      <c r="C975" s="13" t="s">
        <v>1072</v>
      </c>
      <c r="D975" s="14" t="s">
        <v>11</v>
      </c>
      <c r="E975" s="14" t="s">
        <v>634</v>
      </c>
      <c r="F975" s="13" t="s">
        <v>650</v>
      </c>
      <c r="G975" s="12" t="s">
        <v>23</v>
      </c>
      <c r="H975" s="15"/>
      <c r="I975" s="15"/>
      <c r="J975" s="15">
        <f t="shared" si="19"/>
        <v>0</v>
      </c>
    </row>
    <row r="976" ht="28.8" spans="1:10">
      <c r="A976" s="12"/>
      <c r="B976" s="12"/>
      <c r="C976" s="13" t="s">
        <v>1072</v>
      </c>
      <c r="D976" s="14" t="s">
        <v>20</v>
      </c>
      <c r="E976" s="14" t="s">
        <v>636</v>
      </c>
      <c r="F976" s="13" t="s">
        <v>644</v>
      </c>
      <c r="G976" s="12" t="s">
        <v>23</v>
      </c>
      <c r="H976" s="15"/>
      <c r="I976" s="15"/>
      <c r="J976" s="15">
        <f t="shared" si="19"/>
        <v>0</v>
      </c>
    </row>
    <row r="977" ht="28.8" spans="1:10">
      <c r="A977" s="12"/>
      <c r="B977" s="12"/>
      <c r="C977" s="13" t="s">
        <v>1074</v>
      </c>
      <c r="D977" s="14" t="s">
        <v>11</v>
      </c>
      <c r="E977" s="14" t="s">
        <v>634</v>
      </c>
      <c r="F977" s="13" t="s">
        <v>635</v>
      </c>
      <c r="G977" s="12" t="s">
        <v>23</v>
      </c>
      <c r="H977" s="15"/>
      <c r="I977" s="15"/>
      <c r="J977" s="15">
        <f t="shared" si="19"/>
        <v>0</v>
      </c>
    </row>
    <row r="978" ht="28.8" spans="1:10">
      <c r="A978" s="12"/>
      <c r="B978" s="12"/>
      <c r="C978" s="13" t="s">
        <v>1074</v>
      </c>
      <c r="D978" s="14" t="s">
        <v>11</v>
      </c>
      <c r="E978" s="14" t="s">
        <v>634</v>
      </c>
      <c r="F978" s="13" t="s">
        <v>640</v>
      </c>
      <c r="G978" s="12" t="s">
        <v>23</v>
      </c>
      <c r="H978" s="15"/>
      <c r="I978" s="15"/>
      <c r="J978" s="15">
        <f t="shared" si="19"/>
        <v>0</v>
      </c>
    </row>
    <row r="979" ht="28.8" spans="1:10">
      <c r="A979" s="12"/>
      <c r="B979" s="12"/>
      <c r="C979" s="13" t="s">
        <v>1074</v>
      </c>
      <c r="D979" s="14" t="s">
        <v>20</v>
      </c>
      <c r="E979" s="14" t="s">
        <v>636</v>
      </c>
      <c r="F979" s="13" t="s">
        <v>647</v>
      </c>
      <c r="G979" s="12" t="s">
        <v>23</v>
      </c>
      <c r="H979" s="15"/>
      <c r="I979" s="15"/>
      <c r="J979" s="15">
        <f t="shared" si="19"/>
        <v>0</v>
      </c>
    </row>
    <row r="980" ht="28.8" spans="1:10">
      <c r="A980" s="12"/>
      <c r="B980" s="12"/>
      <c r="C980" s="13" t="s">
        <v>1076</v>
      </c>
      <c r="D980" s="14" t="s">
        <v>11</v>
      </c>
      <c r="E980" s="14" t="s">
        <v>634</v>
      </c>
      <c r="F980" s="13" t="s">
        <v>640</v>
      </c>
      <c r="G980" s="12" t="s">
        <v>23</v>
      </c>
      <c r="H980" s="15"/>
      <c r="I980" s="15"/>
      <c r="J980" s="15">
        <f t="shared" si="19"/>
        <v>0</v>
      </c>
    </row>
    <row r="981" ht="28.8" spans="1:10">
      <c r="A981" s="12"/>
      <c r="B981" s="12"/>
      <c r="C981" s="13" t="s">
        <v>1076</v>
      </c>
      <c r="D981" s="14" t="s">
        <v>11</v>
      </c>
      <c r="E981" s="14" t="s">
        <v>634</v>
      </c>
      <c r="F981" s="13" t="s">
        <v>650</v>
      </c>
      <c r="G981" s="12" t="s">
        <v>23</v>
      </c>
      <c r="H981" s="15"/>
      <c r="I981" s="15"/>
      <c r="J981" s="15">
        <f t="shared" si="19"/>
        <v>0</v>
      </c>
    </row>
    <row r="982" ht="28.8" spans="1:10">
      <c r="A982" s="12"/>
      <c r="B982" s="12"/>
      <c r="C982" s="13" t="s">
        <v>1076</v>
      </c>
      <c r="D982" s="14" t="s">
        <v>20</v>
      </c>
      <c r="E982" s="14" t="s">
        <v>636</v>
      </c>
      <c r="F982" s="13" t="s">
        <v>651</v>
      </c>
      <c r="G982" s="12" t="s">
        <v>23</v>
      </c>
      <c r="H982" s="15"/>
      <c r="I982" s="15"/>
      <c r="J982" s="15">
        <f t="shared" si="19"/>
        <v>0</v>
      </c>
    </row>
    <row r="983" ht="28.8" spans="1:10">
      <c r="A983" s="12"/>
      <c r="B983" s="12"/>
      <c r="C983" s="13" t="s">
        <v>1078</v>
      </c>
      <c r="D983" s="14" t="s">
        <v>11</v>
      </c>
      <c r="E983" s="14" t="s">
        <v>634</v>
      </c>
      <c r="F983" s="13" t="s">
        <v>635</v>
      </c>
      <c r="G983" s="12" t="s">
        <v>23</v>
      </c>
      <c r="H983" s="15"/>
      <c r="I983" s="15"/>
      <c r="J983" s="15">
        <f t="shared" si="19"/>
        <v>0</v>
      </c>
    </row>
    <row r="984" ht="28.8" spans="1:10">
      <c r="A984" s="12"/>
      <c r="B984" s="12"/>
      <c r="C984" s="13" t="s">
        <v>1078</v>
      </c>
      <c r="D984" s="14" t="s">
        <v>11</v>
      </c>
      <c r="E984" s="14" t="s">
        <v>634</v>
      </c>
      <c r="F984" s="13" t="s">
        <v>650</v>
      </c>
      <c r="G984" s="12" t="s">
        <v>23</v>
      </c>
      <c r="H984" s="15"/>
      <c r="I984" s="15"/>
      <c r="J984" s="15">
        <f t="shared" si="19"/>
        <v>0</v>
      </c>
    </row>
    <row r="985" ht="28.8" spans="1:10">
      <c r="A985" s="12"/>
      <c r="B985" s="12"/>
      <c r="C985" s="13" t="s">
        <v>1078</v>
      </c>
      <c r="D985" s="14" t="s">
        <v>20</v>
      </c>
      <c r="E985" s="14" t="s">
        <v>636</v>
      </c>
      <c r="F985" s="13" t="s">
        <v>654</v>
      </c>
      <c r="G985" s="12" t="s">
        <v>23</v>
      </c>
      <c r="H985" s="15"/>
      <c r="I985" s="15"/>
      <c r="J985" s="15">
        <f t="shared" si="19"/>
        <v>0</v>
      </c>
    </row>
    <row r="986" spans="1:10">
      <c r="A986" s="12"/>
      <c r="B986" s="12"/>
      <c r="C986" s="13" t="s">
        <v>1080</v>
      </c>
      <c r="D986" s="14" t="s">
        <v>11</v>
      </c>
      <c r="E986" s="14" t="s">
        <v>657</v>
      </c>
      <c r="F986" s="13" t="s">
        <v>658</v>
      </c>
      <c r="G986" s="12" t="s">
        <v>34</v>
      </c>
      <c r="H986" s="15"/>
      <c r="I986" s="15"/>
      <c r="J986" s="15">
        <f t="shared" si="19"/>
        <v>0</v>
      </c>
    </row>
    <row r="987" spans="1:10">
      <c r="A987" s="12"/>
      <c r="B987" s="12"/>
      <c r="C987" s="13" t="s">
        <v>1082</v>
      </c>
      <c r="D987" s="14" t="s">
        <v>11</v>
      </c>
      <c r="E987" s="14" t="s">
        <v>12</v>
      </c>
      <c r="F987" s="13" t="s">
        <v>13</v>
      </c>
      <c r="G987" s="12" t="s">
        <v>14</v>
      </c>
      <c r="H987" s="15"/>
      <c r="I987" s="15"/>
      <c r="J987" s="15">
        <f t="shared" si="19"/>
        <v>0</v>
      </c>
    </row>
    <row r="988" spans="1:10">
      <c r="A988" s="12"/>
      <c r="B988" s="12"/>
      <c r="C988" s="13" t="s">
        <v>1082</v>
      </c>
      <c r="D988" s="14" t="s">
        <v>11</v>
      </c>
      <c r="E988" s="14" t="s">
        <v>12</v>
      </c>
      <c r="F988" s="13" t="s">
        <v>15</v>
      </c>
      <c r="G988" s="12" t="s">
        <v>14</v>
      </c>
      <c r="H988" s="15"/>
      <c r="I988" s="15"/>
      <c r="J988" s="15">
        <f t="shared" si="19"/>
        <v>0</v>
      </c>
    </row>
    <row r="989" spans="1:10">
      <c r="A989" s="12"/>
      <c r="B989" s="12"/>
      <c r="C989" s="13" t="s">
        <v>1082</v>
      </c>
      <c r="D989" s="14" t="s">
        <v>11</v>
      </c>
      <c r="E989" s="14" t="s">
        <v>12</v>
      </c>
      <c r="F989" s="13" t="s">
        <v>28</v>
      </c>
      <c r="G989" s="12" t="s">
        <v>14</v>
      </c>
      <c r="H989" s="15"/>
      <c r="I989" s="15"/>
      <c r="J989" s="15">
        <f t="shared" si="19"/>
        <v>0</v>
      </c>
    </row>
    <row r="990" spans="1:10">
      <c r="A990" s="12"/>
      <c r="B990" s="12"/>
      <c r="C990" s="13" t="s">
        <v>1082</v>
      </c>
      <c r="D990" s="14" t="s">
        <v>20</v>
      </c>
      <c r="E990" s="14" t="s">
        <v>106</v>
      </c>
      <c r="F990" s="13" t="s">
        <v>107</v>
      </c>
      <c r="G990" s="12" t="s">
        <v>108</v>
      </c>
      <c r="H990" s="15"/>
      <c r="I990" s="15"/>
      <c r="J990" s="15">
        <f t="shared" si="19"/>
        <v>0</v>
      </c>
    </row>
    <row r="991" spans="1:10">
      <c r="A991" s="12"/>
      <c r="B991" s="12"/>
      <c r="C991" s="13" t="s">
        <v>1082</v>
      </c>
      <c r="D991" s="14" t="s">
        <v>20</v>
      </c>
      <c r="E991" s="14" t="s">
        <v>596</v>
      </c>
      <c r="F991" s="13" t="s">
        <v>597</v>
      </c>
      <c r="G991" s="12" t="s">
        <v>46</v>
      </c>
      <c r="H991" s="15"/>
      <c r="I991" s="15"/>
      <c r="J991" s="15">
        <f t="shared" si="19"/>
        <v>0</v>
      </c>
    </row>
    <row r="992" spans="1:10">
      <c r="A992" s="12"/>
      <c r="B992" s="12"/>
      <c r="C992" s="13" t="s">
        <v>1084</v>
      </c>
      <c r="D992" s="14" t="s">
        <v>11</v>
      </c>
      <c r="E992" s="14" t="s">
        <v>12</v>
      </c>
      <c r="F992" s="13" t="s">
        <v>13</v>
      </c>
      <c r="G992" s="12" t="s">
        <v>14</v>
      </c>
      <c r="H992" s="15"/>
      <c r="I992" s="15"/>
      <c r="J992" s="15">
        <f t="shared" si="19"/>
        <v>0</v>
      </c>
    </row>
    <row r="993" spans="1:10">
      <c r="A993" s="12"/>
      <c r="B993" s="12"/>
      <c r="C993" s="13" t="s">
        <v>1084</v>
      </c>
      <c r="D993" s="14" t="s">
        <v>11</v>
      </c>
      <c r="E993" s="14" t="s">
        <v>12</v>
      </c>
      <c r="F993" s="13" t="s">
        <v>15</v>
      </c>
      <c r="G993" s="12" t="s">
        <v>14</v>
      </c>
      <c r="H993" s="15"/>
      <c r="I993" s="15"/>
      <c r="J993" s="15">
        <f t="shared" si="19"/>
        <v>0</v>
      </c>
    </row>
    <row r="994" spans="1:10">
      <c r="A994" s="12"/>
      <c r="B994" s="12"/>
      <c r="C994" s="13" t="s">
        <v>1084</v>
      </c>
      <c r="D994" s="14" t="s">
        <v>11</v>
      </c>
      <c r="E994" s="14" t="s">
        <v>12</v>
      </c>
      <c r="F994" s="13" t="s">
        <v>28</v>
      </c>
      <c r="G994" s="12" t="s">
        <v>14</v>
      </c>
      <c r="H994" s="15"/>
      <c r="I994" s="15"/>
      <c r="J994" s="15">
        <f t="shared" si="19"/>
        <v>0</v>
      </c>
    </row>
    <row r="995" spans="1:10">
      <c r="A995" s="12"/>
      <c r="B995" s="12"/>
      <c r="C995" s="13" t="s">
        <v>1084</v>
      </c>
      <c r="D995" s="14" t="s">
        <v>20</v>
      </c>
      <c r="E995" s="14" t="s">
        <v>106</v>
      </c>
      <c r="F995" s="13" t="s">
        <v>107</v>
      </c>
      <c r="G995" s="12" t="s">
        <v>108</v>
      </c>
      <c r="H995" s="15"/>
      <c r="I995" s="15"/>
      <c r="J995" s="15">
        <f t="shared" si="19"/>
        <v>0</v>
      </c>
    </row>
    <row r="996" spans="1:10">
      <c r="A996" s="12"/>
      <c r="B996" s="12"/>
      <c r="C996" s="13" t="s">
        <v>1086</v>
      </c>
      <c r="D996" s="14" t="s">
        <v>11</v>
      </c>
      <c r="E996" s="14" t="s">
        <v>665</v>
      </c>
      <c r="F996" s="13" t="s">
        <v>666</v>
      </c>
      <c r="G996" s="12" t="s">
        <v>34</v>
      </c>
      <c r="H996" s="15"/>
      <c r="I996" s="15"/>
      <c r="J996" s="15">
        <f t="shared" si="19"/>
        <v>0</v>
      </c>
    </row>
    <row r="997" spans="1:10">
      <c r="A997" s="12"/>
      <c r="B997" s="12"/>
      <c r="C997" s="13" t="s">
        <v>1086</v>
      </c>
      <c r="D997" s="14" t="s">
        <v>11</v>
      </c>
      <c r="E997" s="14" t="s">
        <v>12</v>
      </c>
      <c r="F997" s="13" t="s">
        <v>13</v>
      </c>
      <c r="G997" s="12" t="s">
        <v>14</v>
      </c>
      <c r="H997" s="15"/>
      <c r="I997" s="15"/>
      <c r="J997" s="15">
        <f t="shared" si="19"/>
        <v>0</v>
      </c>
    </row>
    <row r="998" spans="1:10">
      <c r="A998" s="12"/>
      <c r="B998" s="12"/>
      <c r="C998" s="13" t="s">
        <v>1086</v>
      </c>
      <c r="D998" s="14" t="s">
        <v>11</v>
      </c>
      <c r="E998" s="14" t="s">
        <v>12</v>
      </c>
      <c r="F998" s="13" t="s">
        <v>15</v>
      </c>
      <c r="G998" s="12" t="s">
        <v>14</v>
      </c>
      <c r="H998" s="15"/>
      <c r="I998" s="15"/>
      <c r="J998" s="15">
        <f t="shared" si="19"/>
        <v>0</v>
      </c>
    </row>
    <row r="999" spans="1:10">
      <c r="A999" s="12"/>
      <c r="B999" s="12"/>
      <c r="C999" s="13" t="s">
        <v>1086</v>
      </c>
      <c r="D999" s="14" t="s">
        <v>11</v>
      </c>
      <c r="E999" s="14" t="s">
        <v>12</v>
      </c>
      <c r="F999" s="13" t="s">
        <v>28</v>
      </c>
      <c r="G999" s="12" t="s">
        <v>14</v>
      </c>
      <c r="H999" s="15"/>
      <c r="I999" s="15"/>
      <c r="J999" s="15">
        <f t="shared" si="19"/>
        <v>0</v>
      </c>
    </row>
    <row r="1000" ht="28.8" spans="1:10">
      <c r="A1000" s="12"/>
      <c r="B1000" s="12"/>
      <c r="C1000" s="13" t="s">
        <v>1086</v>
      </c>
      <c r="D1000" s="14" t="s">
        <v>20</v>
      </c>
      <c r="E1000" s="14" t="s">
        <v>59</v>
      </c>
      <c r="F1000" s="13" t="s">
        <v>667</v>
      </c>
      <c r="G1000" s="12" t="s">
        <v>49</v>
      </c>
      <c r="H1000" s="15"/>
      <c r="I1000" s="15"/>
      <c r="J1000" s="15">
        <f t="shared" si="19"/>
        <v>0</v>
      </c>
    </row>
    <row r="1001" spans="1:10">
      <c r="A1001" s="12"/>
      <c r="B1001" s="12"/>
      <c r="C1001" s="13" t="s">
        <v>1086</v>
      </c>
      <c r="D1001" s="14" t="s">
        <v>20</v>
      </c>
      <c r="E1001" s="14" t="s">
        <v>59</v>
      </c>
      <c r="F1001" s="13" t="s">
        <v>668</v>
      </c>
      <c r="G1001" s="12" t="s">
        <v>49</v>
      </c>
      <c r="H1001" s="15"/>
      <c r="I1001" s="15"/>
      <c r="J1001" s="15">
        <f t="shared" si="19"/>
        <v>0</v>
      </c>
    </row>
    <row r="1002" spans="1:10">
      <c r="A1002" s="12"/>
      <c r="B1002" s="12"/>
      <c r="C1002" s="13" t="s">
        <v>1086</v>
      </c>
      <c r="D1002" s="14" t="s">
        <v>20</v>
      </c>
      <c r="E1002" s="14" t="s">
        <v>59</v>
      </c>
      <c r="F1002" s="13" t="s">
        <v>60</v>
      </c>
      <c r="G1002" s="12" t="s">
        <v>49</v>
      </c>
      <c r="H1002" s="15"/>
      <c r="I1002" s="15"/>
      <c r="J1002" s="15">
        <f t="shared" si="19"/>
        <v>0</v>
      </c>
    </row>
    <row r="1003" spans="1:10">
      <c r="A1003" s="12"/>
      <c r="B1003" s="12"/>
      <c r="C1003" s="13" t="s">
        <v>1086</v>
      </c>
      <c r="D1003" s="14" t="s">
        <v>20</v>
      </c>
      <c r="E1003" s="14" t="s">
        <v>106</v>
      </c>
      <c r="F1003" s="13" t="s">
        <v>669</v>
      </c>
      <c r="G1003" s="12" t="s">
        <v>108</v>
      </c>
      <c r="H1003" s="15"/>
      <c r="I1003" s="15"/>
      <c r="J1003" s="15">
        <f t="shared" si="19"/>
        <v>0</v>
      </c>
    </row>
    <row r="1004" spans="1:10">
      <c r="A1004" s="12"/>
      <c r="B1004" s="12"/>
      <c r="C1004" s="13" t="s">
        <v>1088</v>
      </c>
      <c r="D1004" s="14" t="s">
        <v>11</v>
      </c>
      <c r="E1004" s="14" t="s">
        <v>665</v>
      </c>
      <c r="F1004" s="13" t="s">
        <v>666</v>
      </c>
      <c r="G1004" s="12" t="s">
        <v>34</v>
      </c>
      <c r="H1004" s="15"/>
      <c r="I1004" s="15"/>
      <c r="J1004" s="15">
        <f t="shared" si="19"/>
        <v>0</v>
      </c>
    </row>
    <row r="1005" spans="1:10">
      <c r="A1005" s="12"/>
      <c r="B1005" s="12"/>
      <c r="C1005" s="13" t="s">
        <v>1088</v>
      </c>
      <c r="D1005" s="14" t="s">
        <v>11</v>
      </c>
      <c r="E1005" s="14" t="s">
        <v>12</v>
      </c>
      <c r="F1005" s="13" t="s">
        <v>13</v>
      </c>
      <c r="G1005" s="12" t="s">
        <v>14</v>
      </c>
      <c r="H1005" s="15"/>
      <c r="I1005" s="15"/>
      <c r="J1005" s="15">
        <f t="shared" si="19"/>
        <v>0</v>
      </c>
    </row>
    <row r="1006" spans="1:10">
      <c r="A1006" s="12"/>
      <c r="B1006" s="12"/>
      <c r="C1006" s="13" t="s">
        <v>1088</v>
      </c>
      <c r="D1006" s="14" t="s">
        <v>11</v>
      </c>
      <c r="E1006" s="14" t="s">
        <v>12</v>
      </c>
      <c r="F1006" s="13" t="s">
        <v>15</v>
      </c>
      <c r="G1006" s="12" t="s">
        <v>14</v>
      </c>
      <c r="H1006" s="15"/>
      <c r="I1006" s="15"/>
      <c r="J1006" s="15">
        <f t="shared" si="19"/>
        <v>0</v>
      </c>
    </row>
    <row r="1007" spans="1:10">
      <c r="A1007" s="12"/>
      <c r="B1007" s="12"/>
      <c r="C1007" s="13" t="s">
        <v>1088</v>
      </c>
      <c r="D1007" s="14" t="s">
        <v>11</v>
      </c>
      <c r="E1007" s="14" t="s">
        <v>12</v>
      </c>
      <c r="F1007" s="13" t="s">
        <v>28</v>
      </c>
      <c r="G1007" s="12" t="s">
        <v>14</v>
      </c>
      <c r="H1007" s="15"/>
      <c r="I1007" s="15"/>
      <c r="J1007" s="15">
        <f t="shared" si="19"/>
        <v>0</v>
      </c>
    </row>
    <row r="1008" ht="28.8" spans="1:10">
      <c r="A1008" s="12"/>
      <c r="B1008" s="12"/>
      <c r="C1008" s="13" t="s">
        <v>1088</v>
      </c>
      <c r="D1008" s="14" t="s">
        <v>20</v>
      </c>
      <c r="E1008" s="14" t="s">
        <v>59</v>
      </c>
      <c r="F1008" s="13" t="s">
        <v>667</v>
      </c>
      <c r="G1008" s="12" t="s">
        <v>49</v>
      </c>
      <c r="H1008" s="15"/>
      <c r="I1008" s="15"/>
      <c r="J1008" s="15">
        <f t="shared" si="19"/>
        <v>0</v>
      </c>
    </row>
    <row r="1009" spans="1:10">
      <c r="A1009" s="12"/>
      <c r="B1009" s="12"/>
      <c r="C1009" s="13" t="s">
        <v>1088</v>
      </c>
      <c r="D1009" s="14" t="s">
        <v>20</v>
      </c>
      <c r="E1009" s="14" t="s">
        <v>59</v>
      </c>
      <c r="F1009" s="13" t="s">
        <v>668</v>
      </c>
      <c r="G1009" s="12" t="s">
        <v>49</v>
      </c>
      <c r="H1009" s="15"/>
      <c r="I1009" s="15"/>
      <c r="J1009" s="15">
        <f t="shared" si="19"/>
        <v>0</v>
      </c>
    </row>
    <row r="1010" spans="1:10">
      <c r="A1010" s="12"/>
      <c r="B1010" s="12"/>
      <c r="C1010" s="13" t="s">
        <v>1088</v>
      </c>
      <c r="D1010" s="14" t="s">
        <v>20</v>
      </c>
      <c r="E1010" s="14" t="s">
        <v>59</v>
      </c>
      <c r="F1010" s="13" t="s">
        <v>60</v>
      </c>
      <c r="G1010" s="12" t="s">
        <v>49</v>
      </c>
      <c r="H1010" s="15"/>
      <c r="I1010" s="15"/>
      <c r="J1010" s="15">
        <f t="shared" si="19"/>
        <v>0</v>
      </c>
    </row>
    <row r="1011" spans="1:10">
      <c r="A1011" s="12"/>
      <c r="B1011" s="12"/>
      <c r="C1011" s="13" t="s">
        <v>1088</v>
      </c>
      <c r="D1011" s="14" t="s">
        <v>20</v>
      </c>
      <c r="E1011" s="14" t="s">
        <v>106</v>
      </c>
      <c r="F1011" s="13" t="s">
        <v>672</v>
      </c>
      <c r="G1011" s="12" t="s">
        <v>108</v>
      </c>
      <c r="H1011" s="15"/>
      <c r="I1011" s="15"/>
      <c r="J1011" s="15">
        <f t="shared" si="19"/>
        <v>0</v>
      </c>
    </row>
    <row r="1012" spans="1:10">
      <c r="A1012" s="12"/>
      <c r="B1012" s="12"/>
      <c r="C1012" s="13" t="s">
        <v>1090</v>
      </c>
      <c r="D1012" s="14" t="s">
        <v>11</v>
      </c>
      <c r="E1012" s="14" t="s">
        <v>665</v>
      </c>
      <c r="F1012" s="13" t="s">
        <v>666</v>
      </c>
      <c r="G1012" s="12" t="s">
        <v>34</v>
      </c>
      <c r="H1012" s="15"/>
      <c r="I1012" s="15"/>
      <c r="J1012" s="15">
        <f t="shared" si="19"/>
        <v>0</v>
      </c>
    </row>
    <row r="1013" spans="1:10">
      <c r="A1013" s="12"/>
      <c r="B1013" s="12"/>
      <c r="C1013" s="13" t="s">
        <v>1090</v>
      </c>
      <c r="D1013" s="14" t="s">
        <v>11</v>
      </c>
      <c r="E1013" s="14" t="s">
        <v>12</v>
      </c>
      <c r="F1013" s="13" t="s">
        <v>13</v>
      </c>
      <c r="G1013" s="12" t="s">
        <v>14</v>
      </c>
      <c r="H1013" s="15"/>
      <c r="I1013" s="15"/>
      <c r="J1013" s="15">
        <f t="shared" si="19"/>
        <v>0</v>
      </c>
    </row>
    <row r="1014" spans="1:10">
      <c r="A1014" s="12"/>
      <c r="B1014" s="12"/>
      <c r="C1014" s="13" t="s">
        <v>1090</v>
      </c>
      <c r="D1014" s="14" t="s">
        <v>11</v>
      </c>
      <c r="E1014" s="14" t="s">
        <v>12</v>
      </c>
      <c r="F1014" s="13" t="s">
        <v>15</v>
      </c>
      <c r="G1014" s="12" t="s">
        <v>14</v>
      </c>
      <c r="H1014" s="15"/>
      <c r="I1014" s="15"/>
      <c r="J1014" s="15">
        <f t="shared" si="19"/>
        <v>0</v>
      </c>
    </row>
    <row r="1015" spans="1:10">
      <c r="A1015" s="12"/>
      <c r="B1015" s="12"/>
      <c r="C1015" s="13" t="s">
        <v>1090</v>
      </c>
      <c r="D1015" s="14" t="s">
        <v>11</v>
      </c>
      <c r="E1015" s="14" t="s">
        <v>12</v>
      </c>
      <c r="F1015" s="13" t="s">
        <v>28</v>
      </c>
      <c r="G1015" s="12" t="s">
        <v>14</v>
      </c>
      <c r="H1015" s="15"/>
      <c r="I1015" s="15"/>
      <c r="J1015" s="15">
        <f t="shared" si="19"/>
        <v>0</v>
      </c>
    </row>
    <row r="1016" ht="28.8" spans="1:10">
      <c r="A1016" s="12"/>
      <c r="B1016" s="12"/>
      <c r="C1016" s="13" t="s">
        <v>1090</v>
      </c>
      <c r="D1016" s="14" t="s">
        <v>20</v>
      </c>
      <c r="E1016" s="14" t="s">
        <v>59</v>
      </c>
      <c r="F1016" s="13" t="s">
        <v>667</v>
      </c>
      <c r="G1016" s="12" t="s">
        <v>49</v>
      </c>
      <c r="H1016" s="15"/>
      <c r="I1016" s="15"/>
      <c r="J1016" s="15">
        <f t="shared" si="19"/>
        <v>0</v>
      </c>
    </row>
    <row r="1017" spans="1:10">
      <c r="A1017" s="12"/>
      <c r="B1017" s="12"/>
      <c r="C1017" s="13" t="s">
        <v>1090</v>
      </c>
      <c r="D1017" s="14" t="s">
        <v>20</v>
      </c>
      <c r="E1017" s="14" t="s">
        <v>59</v>
      </c>
      <c r="F1017" s="13" t="s">
        <v>668</v>
      </c>
      <c r="G1017" s="12" t="s">
        <v>49</v>
      </c>
      <c r="H1017" s="15"/>
      <c r="I1017" s="15"/>
      <c r="J1017" s="15">
        <f t="shared" si="19"/>
        <v>0</v>
      </c>
    </row>
    <row r="1018" spans="1:10">
      <c r="A1018" s="12"/>
      <c r="B1018" s="12"/>
      <c r="C1018" s="13" t="s">
        <v>1090</v>
      </c>
      <c r="D1018" s="14" t="s">
        <v>20</v>
      </c>
      <c r="E1018" s="14" t="s">
        <v>59</v>
      </c>
      <c r="F1018" s="13" t="s">
        <v>60</v>
      </c>
      <c r="G1018" s="12" t="s">
        <v>49</v>
      </c>
      <c r="H1018" s="15"/>
      <c r="I1018" s="15"/>
      <c r="J1018" s="15">
        <f t="shared" si="19"/>
        <v>0</v>
      </c>
    </row>
    <row r="1019" spans="1:10">
      <c r="A1019" s="12"/>
      <c r="B1019" s="12"/>
      <c r="C1019" s="13" t="s">
        <v>1090</v>
      </c>
      <c r="D1019" s="14" t="s">
        <v>20</v>
      </c>
      <c r="E1019" s="14" t="s">
        <v>106</v>
      </c>
      <c r="F1019" s="13" t="s">
        <v>675</v>
      </c>
      <c r="G1019" s="12" t="s">
        <v>108</v>
      </c>
      <c r="H1019" s="15"/>
      <c r="I1019" s="15"/>
      <c r="J1019" s="15">
        <f t="shared" si="19"/>
        <v>0</v>
      </c>
    </row>
    <row r="1020" spans="1:10">
      <c r="A1020" s="12"/>
      <c r="B1020" s="12"/>
      <c r="C1020" s="13" t="s">
        <v>1092</v>
      </c>
      <c r="D1020" s="14" t="s">
        <v>11</v>
      </c>
      <c r="E1020" s="14" t="s">
        <v>12</v>
      </c>
      <c r="F1020" s="13" t="s">
        <v>13</v>
      </c>
      <c r="G1020" s="12" t="s">
        <v>14</v>
      </c>
      <c r="H1020" s="15"/>
      <c r="I1020" s="15"/>
      <c r="J1020" s="15">
        <f t="shared" si="19"/>
        <v>0</v>
      </c>
    </row>
    <row r="1021" spans="1:10">
      <c r="A1021" s="12"/>
      <c r="B1021" s="12"/>
      <c r="C1021" s="13" t="s">
        <v>1092</v>
      </c>
      <c r="D1021" s="14" t="s">
        <v>11</v>
      </c>
      <c r="E1021" s="14" t="s">
        <v>12</v>
      </c>
      <c r="F1021" s="13" t="s">
        <v>15</v>
      </c>
      <c r="G1021" s="12" t="s">
        <v>14</v>
      </c>
      <c r="H1021" s="15"/>
      <c r="I1021" s="15"/>
      <c r="J1021" s="15">
        <f t="shared" si="19"/>
        <v>0</v>
      </c>
    </row>
    <row r="1022" spans="1:10">
      <c r="A1022" s="12"/>
      <c r="B1022" s="12"/>
      <c r="C1022" s="13" t="s">
        <v>1092</v>
      </c>
      <c r="D1022" s="14" t="s">
        <v>11</v>
      </c>
      <c r="E1022" s="14" t="s">
        <v>12</v>
      </c>
      <c r="F1022" s="13" t="s">
        <v>28</v>
      </c>
      <c r="G1022" s="12" t="s">
        <v>14</v>
      </c>
      <c r="H1022" s="15"/>
      <c r="I1022" s="15"/>
      <c r="J1022" s="15">
        <f t="shared" ref="J1022:J1030" si="20">+ROUND(PRODUCT(H1022*I1022),0)</f>
        <v>0</v>
      </c>
    </row>
    <row r="1023" ht="28.8" spans="1:10">
      <c r="A1023" s="12"/>
      <c r="B1023" s="12"/>
      <c r="C1023" s="13" t="s">
        <v>1092</v>
      </c>
      <c r="D1023" s="14" t="s">
        <v>20</v>
      </c>
      <c r="E1023" s="14" t="s">
        <v>59</v>
      </c>
      <c r="F1023" s="13" t="s">
        <v>667</v>
      </c>
      <c r="G1023" s="12" t="s">
        <v>49</v>
      </c>
      <c r="H1023" s="15"/>
      <c r="I1023" s="15"/>
      <c r="J1023" s="15">
        <f t="shared" si="20"/>
        <v>0</v>
      </c>
    </row>
    <row r="1024" spans="1:10">
      <c r="A1024" s="12"/>
      <c r="B1024" s="12"/>
      <c r="C1024" s="13" t="s">
        <v>1092</v>
      </c>
      <c r="D1024" s="14" t="s">
        <v>20</v>
      </c>
      <c r="E1024" s="14" t="s">
        <v>59</v>
      </c>
      <c r="F1024" s="13" t="s">
        <v>668</v>
      </c>
      <c r="G1024" s="12" t="s">
        <v>49</v>
      </c>
      <c r="H1024" s="15"/>
      <c r="I1024" s="15"/>
      <c r="J1024" s="15">
        <f t="shared" si="20"/>
        <v>0</v>
      </c>
    </row>
    <row r="1025" spans="1:11">
      <c r="A1025" s="12"/>
      <c r="B1025" s="12"/>
      <c r="C1025" s="13" t="s">
        <v>1092</v>
      </c>
      <c r="D1025" s="14" t="s">
        <v>20</v>
      </c>
      <c r="E1025" s="14" t="s">
        <v>59</v>
      </c>
      <c r="F1025" s="13" t="s">
        <v>60</v>
      </c>
      <c r="G1025" s="12" t="s">
        <v>49</v>
      </c>
      <c r="H1025" s="15"/>
      <c r="I1025" s="15"/>
      <c r="J1025" s="15">
        <f t="shared" si="20"/>
        <v>0</v>
      </c>
    </row>
    <row r="1026" spans="1:11">
      <c r="A1026" s="12"/>
      <c r="B1026" s="12"/>
      <c r="C1026" s="13" t="s">
        <v>1092</v>
      </c>
      <c r="D1026" s="14" t="s">
        <v>20</v>
      </c>
      <c r="E1026" s="14" t="s">
        <v>106</v>
      </c>
      <c r="F1026" s="13" t="s">
        <v>678</v>
      </c>
      <c r="G1026" s="12" t="s">
        <v>108</v>
      </c>
      <c r="H1026" s="15"/>
      <c r="I1026" s="15"/>
      <c r="J1026" s="15">
        <f t="shared" si="20"/>
        <v>0</v>
      </c>
    </row>
    <row r="1027" spans="1:11">
      <c r="A1027" s="12"/>
      <c r="B1027" s="12"/>
      <c r="C1027" s="13" t="s">
        <v>1094</v>
      </c>
      <c r="D1027" s="14" t="s">
        <v>20</v>
      </c>
      <c r="E1027" s="14" t="s">
        <v>114</v>
      </c>
      <c r="F1027" s="13" t="s">
        <v>579</v>
      </c>
      <c r="G1027" s="12" t="s">
        <v>23</v>
      </c>
      <c r="H1027" s="15"/>
      <c r="I1027" s="15"/>
      <c r="J1027" s="15">
        <f t="shared" si="20"/>
        <v>0</v>
      </c>
    </row>
    <row r="1028" spans="1:11">
      <c r="A1028" s="12"/>
      <c r="B1028" s="12"/>
      <c r="C1028" s="13" t="s">
        <v>1096</v>
      </c>
      <c r="D1028" s="14" t="s">
        <v>20</v>
      </c>
      <c r="E1028" s="14" t="s">
        <v>114</v>
      </c>
      <c r="F1028" s="13" t="s">
        <v>579</v>
      </c>
      <c r="G1028" s="12" t="s">
        <v>23</v>
      </c>
      <c r="H1028" s="15"/>
      <c r="I1028" s="15"/>
      <c r="J1028" s="15">
        <f t="shared" si="20"/>
        <v>0</v>
      </c>
    </row>
    <row r="1029" spans="1:11">
      <c r="A1029" s="12"/>
      <c r="B1029" s="12"/>
      <c r="C1029" s="13" t="s">
        <v>1098</v>
      </c>
      <c r="D1029" s="14" t="s">
        <v>20</v>
      </c>
      <c r="E1029" s="14" t="s">
        <v>114</v>
      </c>
      <c r="F1029" s="13" t="s">
        <v>579</v>
      </c>
      <c r="G1029" s="12" t="s">
        <v>23</v>
      </c>
      <c r="H1029" s="15"/>
      <c r="I1029" s="15"/>
      <c r="J1029" s="15">
        <f t="shared" si="20"/>
        <v>0</v>
      </c>
    </row>
    <row r="1030" spans="1:11">
      <c r="A1030" s="12"/>
      <c r="B1030" s="12"/>
      <c r="C1030" s="13" t="s">
        <v>1100</v>
      </c>
      <c r="D1030" s="14" t="s">
        <v>20</v>
      </c>
      <c r="E1030" s="14" t="s">
        <v>114</v>
      </c>
      <c r="F1030" s="13" t="s">
        <v>579</v>
      </c>
      <c r="G1030" s="12" t="s">
        <v>23</v>
      </c>
      <c r="H1030" s="15"/>
      <c r="I1030" s="15"/>
      <c r="J1030" s="15">
        <f t="shared" si="20"/>
        <v>0</v>
      </c>
    </row>
    <row r="1031" spans="1:11">
      <c r="A1031" s="12"/>
      <c r="J1031" s="16" t="s">
        <v>1156</v>
      </c>
      <c r="K1031" s="17">
        <v>588988776.090001</v>
      </c>
    </row>
  </sheetData>
  <mergeCells count="5">
    <mergeCell ref="A1:J1"/>
    <mergeCell ref="A2:J2"/>
    <mergeCell ref="A3:J3"/>
    <mergeCell ref="A5:A51"/>
    <mergeCell ref="B5:B5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7"/>
  <sheetViews>
    <sheetView view="pageBreakPreview" zoomScaleNormal="100" topLeftCell="A144" workbookViewId="0">
      <selection activeCell="C503" sqref="C503"/>
    </sheetView>
  </sheetViews>
  <sheetFormatPr defaultColWidth="26.8888888888889" defaultRowHeight="14.4"/>
  <cols>
    <col min="1" max="1" width="8.88888888888889" customWidth="1"/>
    <col min="2" max="2" width="25.2314814814815" customWidth="1"/>
    <col min="3" max="3" width="22.7777777777778" style="1" customWidth="1"/>
    <col min="4" max="4" width="14.75" style="2" customWidth="1"/>
    <col min="5" max="5" width="29.0462962962963" style="2" customWidth="1"/>
    <col min="6" max="6" width="47.8888888888889" style="1" customWidth="1"/>
    <col min="7" max="7" width="11.3333333333333" customWidth="1"/>
    <col min="8" max="8" width="15.2222222222222" customWidth="1"/>
    <col min="9" max="9" width="10.4444444444444" customWidth="1"/>
    <col min="10" max="10" width="16.1111111111111" customWidth="1"/>
  </cols>
  <sheetData>
    <row r="1" ht="18" spans="1:10">
      <c r="A1" s="3" t="s">
        <v>1134</v>
      </c>
      <c r="B1" s="3"/>
      <c r="C1" s="4"/>
      <c r="D1" s="3"/>
      <c r="E1" s="3"/>
      <c r="F1" s="5"/>
      <c r="G1" s="3"/>
      <c r="H1" s="3"/>
      <c r="I1" s="3"/>
      <c r="J1" s="3"/>
    </row>
    <row r="2" ht="28" customHeight="1" spans="1:10">
      <c r="A2" s="6" t="s">
        <v>1104</v>
      </c>
      <c r="B2" s="6" t="s">
        <v>1105</v>
      </c>
      <c r="C2" s="7" t="s">
        <v>1</v>
      </c>
      <c r="D2" s="6" t="s">
        <v>2</v>
      </c>
      <c r="E2" s="6" t="s">
        <v>3</v>
      </c>
      <c r="F2" s="7" t="s">
        <v>4</v>
      </c>
      <c r="G2" s="6" t="s">
        <v>5</v>
      </c>
      <c r="H2" s="6" t="s">
        <v>6</v>
      </c>
      <c r="I2" s="6" t="s">
        <v>7</v>
      </c>
      <c r="J2" s="6" t="s">
        <v>8</v>
      </c>
    </row>
    <row r="3" spans="1:10">
      <c r="A3" s="8"/>
      <c r="B3" s="8"/>
      <c r="C3" s="9"/>
      <c r="D3" s="10"/>
      <c r="E3" s="10"/>
      <c r="F3" s="9"/>
      <c r="G3" s="8"/>
      <c r="H3" s="11"/>
      <c r="I3" s="11"/>
      <c r="J3" s="11"/>
    </row>
    <row r="4" ht="28.8" spans="1:10">
      <c r="A4" s="12" t="e">
        <f>1+#REF!</f>
        <v>#REF!</v>
      </c>
      <c r="B4" s="12"/>
      <c r="C4" s="13" t="s">
        <v>805</v>
      </c>
      <c r="D4" s="14" t="s">
        <v>11</v>
      </c>
      <c r="E4" s="14" t="s">
        <v>24</v>
      </c>
      <c r="F4" s="13" t="s">
        <v>604</v>
      </c>
      <c r="G4" s="12" t="s">
        <v>34</v>
      </c>
      <c r="H4" s="15"/>
      <c r="I4" s="15"/>
      <c r="J4" s="15">
        <f t="shared" ref="J4:J67" si="0">+ROUND(PRODUCT(H4*I4),0)</f>
        <v>0</v>
      </c>
    </row>
    <row r="5" ht="28.8" spans="1:10">
      <c r="A5" s="12" t="e">
        <f t="shared" ref="A5:A68" si="1">1+A4</f>
        <v>#REF!</v>
      </c>
      <c r="B5" s="12"/>
      <c r="C5" s="13" t="s">
        <v>805</v>
      </c>
      <c r="D5" s="14" t="s">
        <v>11</v>
      </c>
      <c r="E5" s="14" t="s">
        <v>24</v>
      </c>
      <c r="F5" s="13" t="s">
        <v>605</v>
      </c>
      <c r="G5" s="12" t="s">
        <v>34</v>
      </c>
      <c r="H5" s="15"/>
      <c r="I5" s="15"/>
      <c r="J5" s="15">
        <f t="shared" si="0"/>
        <v>0</v>
      </c>
    </row>
    <row r="6" ht="28.8" spans="1:10">
      <c r="A6" s="12" t="e">
        <f t="shared" si="1"/>
        <v>#REF!</v>
      </c>
      <c r="B6" s="12"/>
      <c r="C6" s="13" t="s">
        <v>805</v>
      </c>
      <c r="D6" s="14" t="s">
        <v>11</v>
      </c>
      <c r="E6" s="14" t="s">
        <v>24</v>
      </c>
      <c r="F6" s="13" t="s">
        <v>606</v>
      </c>
      <c r="G6" s="12" t="s">
        <v>34</v>
      </c>
      <c r="H6" s="15"/>
      <c r="I6" s="15"/>
      <c r="J6" s="15">
        <f t="shared" si="0"/>
        <v>0</v>
      </c>
    </row>
    <row r="7" ht="28.8" spans="1:10">
      <c r="A7" s="12" t="e">
        <f t="shared" si="1"/>
        <v>#REF!</v>
      </c>
      <c r="B7" s="12"/>
      <c r="C7" s="13" t="s">
        <v>805</v>
      </c>
      <c r="D7" s="14" t="s">
        <v>20</v>
      </c>
      <c r="E7" s="14" t="s">
        <v>47</v>
      </c>
      <c r="F7" s="13" t="s">
        <v>50</v>
      </c>
      <c r="G7" s="12" t="s">
        <v>49</v>
      </c>
      <c r="H7" s="15"/>
      <c r="I7" s="15"/>
      <c r="J7" s="15">
        <f t="shared" si="0"/>
        <v>0</v>
      </c>
    </row>
    <row r="8" ht="28.8" spans="1:10">
      <c r="A8" s="12" t="e">
        <f t="shared" si="1"/>
        <v>#REF!</v>
      </c>
      <c r="B8" s="12"/>
      <c r="C8" s="13" t="s">
        <v>805</v>
      </c>
      <c r="D8" s="14" t="s">
        <v>20</v>
      </c>
      <c r="E8" s="14" t="s">
        <v>61</v>
      </c>
      <c r="F8" s="13" t="s">
        <v>78</v>
      </c>
      <c r="G8" s="12" t="s">
        <v>49</v>
      </c>
      <c r="H8" s="15"/>
      <c r="I8" s="15"/>
      <c r="J8" s="15">
        <f t="shared" si="0"/>
        <v>0</v>
      </c>
    </row>
    <row r="9" ht="28.8" spans="1:10">
      <c r="A9" s="12" t="e">
        <f t="shared" si="1"/>
        <v>#REF!</v>
      </c>
      <c r="B9" s="12"/>
      <c r="C9" s="13" t="s">
        <v>805</v>
      </c>
      <c r="D9" s="14" t="s">
        <v>20</v>
      </c>
      <c r="E9" s="14" t="s">
        <v>61</v>
      </c>
      <c r="F9" s="13" t="s">
        <v>607</v>
      </c>
      <c r="G9" s="12" t="s">
        <v>23</v>
      </c>
      <c r="H9" s="15"/>
      <c r="I9" s="15"/>
      <c r="J9" s="15">
        <f t="shared" si="0"/>
        <v>0</v>
      </c>
    </row>
    <row r="10" ht="28.8" spans="1:10">
      <c r="A10" s="12" t="e">
        <f t="shared" si="1"/>
        <v>#REF!</v>
      </c>
      <c r="B10" s="12"/>
      <c r="C10" s="13" t="s">
        <v>805</v>
      </c>
      <c r="D10" s="14" t="s">
        <v>20</v>
      </c>
      <c r="E10" s="14" t="s">
        <v>84</v>
      </c>
      <c r="F10" s="13" t="s">
        <v>86</v>
      </c>
      <c r="G10" s="12" t="s">
        <v>49</v>
      </c>
      <c r="H10" s="15"/>
      <c r="I10" s="15"/>
      <c r="J10" s="15">
        <f t="shared" si="0"/>
        <v>0</v>
      </c>
    </row>
    <row r="11" ht="28.8" spans="1:10">
      <c r="A11" s="12" t="e">
        <f t="shared" si="1"/>
        <v>#REF!</v>
      </c>
      <c r="B11" s="12"/>
      <c r="C11" s="13" t="s">
        <v>805</v>
      </c>
      <c r="D11" s="14" t="s">
        <v>20</v>
      </c>
      <c r="E11" s="14" t="s">
        <v>84</v>
      </c>
      <c r="F11" s="13" t="s">
        <v>88</v>
      </c>
      <c r="G11" s="12" t="s">
        <v>49</v>
      </c>
      <c r="H11" s="15"/>
      <c r="I11" s="15"/>
      <c r="J11" s="15">
        <f t="shared" si="0"/>
        <v>0</v>
      </c>
    </row>
    <row r="12" ht="28.8" spans="1:10">
      <c r="A12" s="12" t="e">
        <f t="shared" si="1"/>
        <v>#REF!</v>
      </c>
      <c r="B12" s="12"/>
      <c r="C12" s="13" t="s">
        <v>805</v>
      </c>
      <c r="D12" s="14" t="s">
        <v>20</v>
      </c>
      <c r="E12" s="14" t="s">
        <v>84</v>
      </c>
      <c r="F12" s="13" t="s">
        <v>89</v>
      </c>
      <c r="G12" s="12" t="s">
        <v>49</v>
      </c>
      <c r="H12" s="15"/>
      <c r="I12" s="15"/>
      <c r="J12" s="15">
        <f t="shared" si="0"/>
        <v>0</v>
      </c>
    </row>
    <row r="13" ht="28.8" spans="1:10">
      <c r="A13" s="12" t="e">
        <f t="shared" si="1"/>
        <v>#REF!</v>
      </c>
      <c r="B13" s="12"/>
      <c r="C13" s="13" t="s">
        <v>805</v>
      </c>
      <c r="D13" s="14" t="s">
        <v>20</v>
      </c>
      <c r="E13" s="14" t="s">
        <v>84</v>
      </c>
      <c r="F13" s="13" t="s">
        <v>608</v>
      </c>
      <c r="G13" s="12" t="s">
        <v>100</v>
      </c>
      <c r="H13" s="15"/>
      <c r="I13" s="15"/>
      <c r="J13" s="15">
        <f t="shared" si="0"/>
        <v>0</v>
      </c>
    </row>
    <row r="14" ht="28.8" spans="1:10">
      <c r="A14" s="12" t="e">
        <f t="shared" si="1"/>
        <v>#REF!</v>
      </c>
      <c r="B14" s="12"/>
      <c r="C14" s="13" t="s">
        <v>805</v>
      </c>
      <c r="D14" s="14" t="s">
        <v>20</v>
      </c>
      <c r="E14" s="14" t="s">
        <v>84</v>
      </c>
      <c r="F14" s="13" t="s">
        <v>609</v>
      </c>
      <c r="G14" s="12" t="s">
        <v>63</v>
      </c>
      <c r="H14" s="15"/>
      <c r="I14" s="15"/>
      <c r="J14" s="15">
        <f t="shared" si="0"/>
        <v>0</v>
      </c>
    </row>
    <row r="15" ht="28.8" spans="1:10">
      <c r="A15" s="12" t="e">
        <f t="shared" si="1"/>
        <v>#REF!</v>
      </c>
      <c r="B15" s="12"/>
      <c r="C15" s="13" t="s">
        <v>805</v>
      </c>
      <c r="D15" s="14" t="s">
        <v>20</v>
      </c>
      <c r="E15" s="14" t="s">
        <v>84</v>
      </c>
      <c r="F15" s="13" t="s">
        <v>610</v>
      </c>
      <c r="G15" s="12" t="s">
        <v>611</v>
      </c>
      <c r="H15" s="15"/>
      <c r="I15" s="15"/>
      <c r="J15" s="15">
        <f t="shared" si="0"/>
        <v>0</v>
      </c>
    </row>
    <row r="16" ht="28.8" spans="1:10">
      <c r="A16" s="12" t="e">
        <f t="shared" si="1"/>
        <v>#REF!</v>
      </c>
      <c r="B16" s="12"/>
      <c r="C16" s="13" t="s">
        <v>805</v>
      </c>
      <c r="D16" s="14" t="s">
        <v>20</v>
      </c>
      <c r="E16" s="14" t="s">
        <v>84</v>
      </c>
      <c r="F16" s="13" t="s">
        <v>612</v>
      </c>
      <c r="G16" s="12" t="s">
        <v>611</v>
      </c>
      <c r="H16" s="15"/>
      <c r="I16" s="15"/>
      <c r="J16" s="15">
        <f t="shared" si="0"/>
        <v>0</v>
      </c>
    </row>
    <row r="17" ht="43.2" spans="1:10">
      <c r="A17" s="12" t="e">
        <f t="shared" si="1"/>
        <v>#REF!</v>
      </c>
      <c r="B17" s="12"/>
      <c r="C17" s="13" t="s">
        <v>807</v>
      </c>
      <c r="D17" s="14" t="s">
        <v>20</v>
      </c>
      <c r="E17" s="14" t="s">
        <v>47</v>
      </c>
      <c r="F17" s="13" t="s">
        <v>48</v>
      </c>
      <c r="G17" s="12" t="s">
        <v>49</v>
      </c>
      <c r="H17" s="15"/>
      <c r="I17" s="15"/>
      <c r="J17" s="15">
        <f t="shared" si="0"/>
        <v>0</v>
      </c>
    </row>
    <row r="18" ht="43.2" spans="1:10">
      <c r="A18" s="12" t="e">
        <f t="shared" si="1"/>
        <v>#REF!</v>
      </c>
      <c r="B18" s="12"/>
      <c r="C18" s="13" t="s">
        <v>807</v>
      </c>
      <c r="D18" s="14" t="s">
        <v>20</v>
      </c>
      <c r="E18" s="14" t="s">
        <v>624</v>
      </c>
      <c r="F18" s="13" t="s">
        <v>625</v>
      </c>
      <c r="G18" s="12" t="s">
        <v>23</v>
      </c>
      <c r="H18" s="15"/>
      <c r="I18" s="15"/>
      <c r="J18" s="15">
        <f t="shared" si="0"/>
        <v>0</v>
      </c>
    </row>
    <row r="19" ht="43.2" spans="1:10">
      <c r="A19" s="12" t="e">
        <f t="shared" si="1"/>
        <v>#REF!</v>
      </c>
      <c r="B19" s="12"/>
      <c r="C19" s="13" t="s">
        <v>807</v>
      </c>
      <c r="D19" s="14" t="s">
        <v>20</v>
      </c>
      <c r="E19" s="14" t="s">
        <v>624</v>
      </c>
      <c r="F19" s="13" t="s">
        <v>626</v>
      </c>
      <c r="G19" s="12" t="s">
        <v>23</v>
      </c>
      <c r="H19" s="15"/>
      <c r="I19" s="15"/>
      <c r="J19" s="15">
        <f t="shared" si="0"/>
        <v>0</v>
      </c>
    </row>
    <row r="20" ht="43.2" spans="1:10">
      <c r="A20" s="12" t="e">
        <f t="shared" si="1"/>
        <v>#REF!</v>
      </c>
      <c r="B20" s="12"/>
      <c r="C20" s="13" t="s">
        <v>807</v>
      </c>
      <c r="D20" s="14" t="s">
        <v>20</v>
      </c>
      <c r="E20" s="14" t="s">
        <v>624</v>
      </c>
      <c r="F20" s="13" t="s">
        <v>627</v>
      </c>
      <c r="G20" s="12" t="s">
        <v>23</v>
      </c>
      <c r="H20" s="15"/>
      <c r="I20" s="15"/>
      <c r="J20" s="15">
        <f t="shared" si="0"/>
        <v>0</v>
      </c>
    </row>
    <row r="21" ht="43.2" spans="1:10">
      <c r="A21" s="12" t="e">
        <f t="shared" si="1"/>
        <v>#REF!</v>
      </c>
      <c r="B21" s="12"/>
      <c r="C21" s="13" t="s">
        <v>807</v>
      </c>
      <c r="D21" s="14" t="s">
        <v>20</v>
      </c>
      <c r="E21" s="14" t="s">
        <v>624</v>
      </c>
      <c r="F21" s="13" t="s">
        <v>628</v>
      </c>
      <c r="G21" s="12" t="s">
        <v>23</v>
      </c>
      <c r="H21" s="15"/>
      <c r="I21" s="15"/>
      <c r="J21" s="15">
        <f t="shared" si="0"/>
        <v>0</v>
      </c>
    </row>
    <row r="22" ht="43.2" spans="1:10">
      <c r="A22" s="12" t="e">
        <f t="shared" si="1"/>
        <v>#REF!</v>
      </c>
      <c r="B22" s="12"/>
      <c r="C22" s="13" t="s">
        <v>807</v>
      </c>
      <c r="D22" s="14" t="s">
        <v>11</v>
      </c>
      <c r="E22" s="14" t="s">
        <v>630</v>
      </c>
      <c r="F22" s="13" t="s">
        <v>631</v>
      </c>
      <c r="G22" s="12" t="s">
        <v>17</v>
      </c>
      <c r="H22" s="15"/>
      <c r="I22" s="15"/>
      <c r="J22" s="15">
        <f t="shared" si="0"/>
        <v>0</v>
      </c>
    </row>
    <row r="23" ht="43.2" spans="1:10">
      <c r="A23" s="12" t="e">
        <f t="shared" si="1"/>
        <v>#REF!</v>
      </c>
      <c r="B23" s="12"/>
      <c r="C23" s="13" t="s">
        <v>809</v>
      </c>
      <c r="D23" s="14" t="s">
        <v>20</v>
      </c>
      <c r="E23" s="14" t="s">
        <v>47</v>
      </c>
      <c r="F23" s="13" t="s">
        <v>48</v>
      </c>
      <c r="G23" s="12" t="s">
        <v>49</v>
      </c>
      <c r="H23" s="15"/>
      <c r="I23" s="15"/>
      <c r="J23" s="15">
        <f t="shared" si="0"/>
        <v>0</v>
      </c>
    </row>
    <row r="24" ht="43.2" spans="1:10">
      <c r="A24" s="12" t="e">
        <f t="shared" si="1"/>
        <v>#REF!</v>
      </c>
      <c r="B24" s="12"/>
      <c r="C24" s="13" t="s">
        <v>809</v>
      </c>
      <c r="D24" s="14" t="s">
        <v>20</v>
      </c>
      <c r="E24" s="14" t="s">
        <v>624</v>
      </c>
      <c r="F24" s="13" t="s">
        <v>625</v>
      </c>
      <c r="G24" s="12" t="s">
        <v>23</v>
      </c>
      <c r="H24" s="15"/>
      <c r="I24" s="15"/>
      <c r="J24" s="15">
        <f t="shared" si="0"/>
        <v>0</v>
      </c>
    </row>
    <row r="25" ht="43.2" spans="1:10">
      <c r="A25" s="12" t="e">
        <f t="shared" si="1"/>
        <v>#REF!</v>
      </c>
      <c r="B25" s="12"/>
      <c r="C25" s="13" t="s">
        <v>809</v>
      </c>
      <c r="D25" s="14" t="s">
        <v>20</v>
      </c>
      <c r="E25" s="14" t="s">
        <v>624</v>
      </c>
      <c r="F25" s="13" t="s">
        <v>626</v>
      </c>
      <c r="G25" s="12" t="s">
        <v>23</v>
      </c>
      <c r="H25" s="15"/>
      <c r="I25" s="15"/>
      <c r="J25" s="15">
        <f t="shared" si="0"/>
        <v>0</v>
      </c>
    </row>
    <row r="26" ht="43.2" spans="1:10">
      <c r="A26" s="12" t="e">
        <f t="shared" si="1"/>
        <v>#REF!</v>
      </c>
      <c r="B26" s="12"/>
      <c r="C26" s="13" t="s">
        <v>809</v>
      </c>
      <c r="D26" s="14" t="s">
        <v>20</v>
      </c>
      <c r="E26" s="14" t="s">
        <v>624</v>
      </c>
      <c r="F26" s="13" t="s">
        <v>627</v>
      </c>
      <c r="G26" s="12" t="s">
        <v>23</v>
      </c>
      <c r="H26" s="15"/>
      <c r="I26" s="15"/>
      <c r="J26" s="15">
        <f t="shared" si="0"/>
        <v>0</v>
      </c>
    </row>
    <row r="27" ht="43.2" spans="1:10">
      <c r="A27" s="12" t="e">
        <f t="shared" si="1"/>
        <v>#REF!</v>
      </c>
      <c r="B27" s="12"/>
      <c r="C27" s="13" t="s">
        <v>809</v>
      </c>
      <c r="D27" s="14" t="s">
        <v>20</v>
      </c>
      <c r="E27" s="14" t="s">
        <v>624</v>
      </c>
      <c r="F27" s="13" t="s">
        <v>628</v>
      </c>
      <c r="G27" s="12" t="s">
        <v>23</v>
      </c>
      <c r="H27" s="15"/>
      <c r="I27" s="15"/>
      <c r="J27" s="15">
        <f t="shared" si="0"/>
        <v>0</v>
      </c>
    </row>
    <row r="28" ht="43.2" spans="1:10">
      <c r="A28" s="12" t="e">
        <f t="shared" si="1"/>
        <v>#REF!</v>
      </c>
      <c r="B28" s="12"/>
      <c r="C28" s="13" t="s">
        <v>809</v>
      </c>
      <c r="D28" s="14" t="s">
        <v>11</v>
      </c>
      <c r="E28" s="14" t="s">
        <v>630</v>
      </c>
      <c r="F28" s="13" t="s">
        <v>631</v>
      </c>
      <c r="G28" s="12" t="s">
        <v>17</v>
      </c>
      <c r="H28" s="15"/>
      <c r="I28" s="15"/>
      <c r="J28" s="15">
        <f t="shared" si="0"/>
        <v>0</v>
      </c>
    </row>
    <row r="29" ht="43.2" spans="1:10">
      <c r="A29" s="12" t="e">
        <f t="shared" si="1"/>
        <v>#REF!</v>
      </c>
      <c r="B29" s="12"/>
      <c r="C29" s="13" t="s">
        <v>811</v>
      </c>
      <c r="D29" s="14" t="s">
        <v>20</v>
      </c>
      <c r="E29" s="14" t="s">
        <v>47</v>
      </c>
      <c r="F29" s="13" t="s">
        <v>48</v>
      </c>
      <c r="G29" s="12" t="s">
        <v>49</v>
      </c>
      <c r="H29" s="15"/>
      <c r="I29" s="15"/>
      <c r="J29" s="15">
        <f t="shared" si="0"/>
        <v>0</v>
      </c>
    </row>
    <row r="30" ht="43.2" spans="1:10">
      <c r="A30" s="12" t="e">
        <f t="shared" si="1"/>
        <v>#REF!</v>
      </c>
      <c r="B30" s="12"/>
      <c r="C30" s="13" t="s">
        <v>811</v>
      </c>
      <c r="D30" s="14" t="s">
        <v>20</v>
      </c>
      <c r="E30" s="14" t="s">
        <v>624</v>
      </c>
      <c r="F30" s="13" t="s">
        <v>625</v>
      </c>
      <c r="G30" s="12" t="s">
        <v>23</v>
      </c>
      <c r="H30" s="15"/>
      <c r="I30" s="15"/>
      <c r="J30" s="15">
        <f t="shared" si="0"/>
        <v>0</v>
      </c>
    </row>
    <row r="31" ht="43.2" spans="1:10">
      <c r="A31" s="12" t="e">
        <f t="shared" si="1"/>
        <v>#REF!</v>
      </c>
      <c r="B31" s="12"/>
      <c r="C31" s="13" t="s">
        <v>811</v>
      </c>
      <c r="D31" s="14" t="s">
        <v>20</v>
      </c>
      <c r="E31" s="14" t="s">
        <v>624</v>
      </c>
      <c r="F31" s="13" t="s">
        <v>626</v>
      </c>
      <c r="G31" s="12" t="s">
        <v>23</v>
      </c>
      <c r="H31" s="15"/>
      <c r="I31" s="15"/>
      <c r="J31" s="15">
        <f t="shared" si="0"/>
        <v>0</v>
      </c>
    </row>
    <row r="32" ht="43.2" spans="1:10">
      <c r="A32" s="12" t="e">
        <f t="shared" si="1"/>
        <v>#REF!</v>
      </c>
      <c r="B32" s="12"/>
      <c r="C32" s="13" t="s">
        <v>811</v>
      </c>
      <c r="D32" s="14" t="s">
        <v>20</v>
      </c>
      <c r="E32" s="14" t="s">
        <v>624</v>
      </c>
      <c r="F32" s="13" t="s">
        <v>627</v>
      </c>
      <c r="G32" s="12" t="s">
        <v>23</v>
      </c>
      <c r="H32" s="15"/>
      <c r="I32" s="15"/>
      <c r="J32" s="15">
        <f t="shared" si="0"/>
        <v>0</v>
      </c>
    </row>
    <row r="33" ht="43.2" spans="1:10">
      <c r="A33" s="12" t="e">
        <f t="shared" si="1"/>
        <v>#REF!</v>
      </c>
      <c r="B33" s="12"/>
      <c r="C33" s="13" t="s">
        <v>811</v>
      </c>
      <c r="D33" s="14" t="s">
        <v>20</v>
      </c>
      <c r="E33" s="14" t="s">
        <v>624</v>
      </c>
      <c r="F33" s="13" t="s">
        <v>628</v>
      </c>
      <c r="G33" s="12" t="s">
        <v>23</v>
      </c>
      <c r="H33" s="15"/>
      <c r="I33" s="15"/>
      <c r="J33" s="15">
        <f t="shared" si="0"/>
        <v>0</v>
      </c>
    </row>
    <row r="34" ht="43.2" spans="1:10">
      <c r="A34" s="12" t="e">
        <f t="shared" si="1"/>
        <v>#REF!</v>
      </c>
      <c r="B34" s="12"/>
      <c r="C34" s="13" t="s">
        <v>811</v>
      </c>
      <c r="D34" s="14" t="s">
        <v>11</v>
      </c>
      <c r="E34" s="14" t="s">
        <v>630</v>
      </c>
      <c r="F34" s="13" t="s">
        <v>631</v>
      </c>
      <c r="G34" s="12" t="s">
        <v>17</v>
      </c>
      <c r="H34" s="15"/>
      <c r="I34" s="15"/>
      <c r="J34" s="15">
        <f t="shared" si="0"/>
        <v>0</v>
      </c>
    </row>
    <row r="35" ht="43.2" spans="1:10">
      <c r="A35" s="12" t="e">
        <f t="shared" si="1"/>
        <v>#REF!</v>
      </c>
      <c r="B35" s="12"/>
      <c r="C35" s="13" t="s">
        <v>813</v>
      </c>
      <c r="D35" s="14" t="s">
        <v>20</v>
      </c>
      <c r="E35" s="14" t="s">
        <v>47</v>
      </c>
      <c r="F35" s="13" t="s">
        <v>48</v>
      </c>
      <c r="G35" s="12" t="s">
        <v>49</v>
      </c>
      <c r="H35" s="15"/>
      <c r="I35" s="15"/>
      <c r="J35" s="15">
        <f t="shared" si="0"/>
        <v>0</v>
      </c>
    </row>
    <row r="36" ht="43.2" spans="1:10">
      <c r="A36" s="12" t="e">
        <f t="shared" si="1"/>
        <v>#REF!</v>
      </c>
      <c r="B36" s="12"/>
      <c r="C36" s="13" t="s">
        <v>813</v>
      </c>
      <c r="D36" s="14" t="s">
        <v>20</v>
      </c>
      <c r="E36" s="14" t="s">
        <v>624</v>
      </c>
      <c r="F36" s="13" t="s">
        <v>625</v>
      </c>
      <c r="G36" s="12" t="s">
        <v>23</v>
      </c>
      <c r="H36" s="15"/>
      <c r="I36" s="15"/>
      <c r="J36" s="15">
        <f t="shared" si="0"/>
        <v>0</v>
      </c>
    </row>
    <row r="37" ht="43.2" spans="1:10">
      <c r="A37" s="12" t="e">
        <f t="shared" si="1"/>
        <v>#REF!</v>
      </c>
      <c r="B37" s="12"/>
      <c r="C37" s="13" t="s">
        <v>813</v>
      </c>
      <c r="D37" s="14" t="s">
        <v>20</v>
      </c>
      <c r="E37" s="14" t="s">
        <v>624</v>
      </c>
      <c r="F37" s="13" t="s">
        <v>626</v>
      </c>
      <c r="G37" s="12" t="s">
        <v>23</v>
      </c>
      <c r="H37" s="15"/>
      <c r="I37" s="15"/>
      <c r="J37" s="15">
        <f t="shared" si="0"/>
        <v>0</v>
      </c>
    </row>
    <row r="38" ht="43.2" spans="1:10">
      <c r="A38" s="12" t="e">
        <f t="shared" si="1"/>
        <v>#REF!</v>
      </c>
      <c r="B38" s="12"/>
      <c r="C38" s="13" t="s">
        <v>813</v>
      </c>
      <c r="D38" s="14" t="s">
        <v>20</v>
      </c>
      <c r="E38" s="14" t="s">
        <v>624</v>
      </c>
      <c r="F38" s="13" t="s">
        <v>627</v>
      </c>
      <c r="G38" s="12" t="s">
        <v>23</v>
      </c>
      <c r="H38" s="15"/>
      <c r="I38" s="15"/>
      <c r="J38" s="15">
        <f t="shared" si="0"/>
        <v>0</v>
      </c>
    </row>
    <row r="39" ht="43.2" spans="1:10">
      <c r="A39" s="12" t="e">
        <f t="shared" si="1"/>
        <v>#REF!</v>
      </c>
      <c r="B39" s="12"/>
      <c r="C39" s="13" t="s">
        <v>813</v>
      </c>
      <c r="D39" s="14" t="s">
        <v>20</v>
      </c>
      <c r="E39" s="14" t="s">
        <v>624</v>
      </c>
      <c r="F39" s="13" t="s">
        <v>628</v>
      </c>
      <c r="G39" s="12" t="s">
        <v>23</v>
      </c>
      <c r="H39" s="15"/>
      <c r="I39" s="15"/>
      <c r="J39" s="15">
        <f t="shared" si="0"/>
        <v>0</v>
      </c>
    </row>
    <row r="40" ht="43.2" spans="1:10">
      <c r="A40" s="12" t="e">
        <f t="shared" si="1"/>
        <v>#REF!</v>
      </c>
      <c r="B40" s="12"/>
      <c r="C40" s="13" t="s">
        <v>813</v>
      </c>
      <c r="D40" s="14" t="s">
        <v>11</v>
      </c>
      <c r="E40" s="14" t="s">
        <v>630</v>
      </c>
      <c r="F40" s="13" t="s">
        <v>631</v>
      </c>
      <c r="G40" s="12" t="s">
        <v>17</v>
      </c>
      <c r="H40" s="15"/>
      <c r="I40" s="15"/>
      <c r="J40" s="15">
        <f t="shared" si="0"/>
        <v>0</v>
      </c>
    </row>
    <row r="41" ht="43.2" spans="1:10">
      <c r="A41" s="12" t="e">
        <f t="shared" si="1"/>
        <v>#REF!</v>
      </c>
      <c r="B41" s="12"/>
      <c r="C41" s="13" t="s">
        <v>815</v>
      </c>
      <c r="D41" s="14" t="s">
        <v>20</v>
      </c>
      <c r="E41" s="14" t="s">
        <v>47</v>
      </c>
      <c r="F41" s="13" t="s">
        <v>48</v>
      </c>
      <c r="G41" s="12" t="s">
        <v>49</v>
      </c>
      <c r="H41" s="15"/>
      <c r="I41" s="15"/>
      <c r="J41" s="15">
        <f t="shared" si="0"/>
        <v>0</v>
      </c>
    </row>
    <row r="42" ht="43.2" spans="1:10">
      <c r="A42" s="12" t="e">
        <f t="shared" si="1"/>
        <v>#REF!</v>
      </c>
      <c r="B42" s="12"/>
      <c r="C42" s="13" t="s">
        <v>815</v>
      </c>
      <c r="D42" s="14" t="s">
        <v>20</v>
      </c>
      <c r="E42" s="14" t="s">
        <v>624</v>
      </c>
      <c r="F42" s="13" t="s">
        <v>625</v>
      </c>
      <c r="G42" s="12" t="s">
        <v>23</v>
      </c>
      <c r="H42" s="15"/>
      <c r="I42" s="15"/>
      <c r="J42" s="15">
        <f t="shared" si="0"/>
        <v>0</v>
      </c>
    </row>
    <row r="43" ht="43.2" spans="1:10">
      <c r="A43" s="12" t="e">
        <f t="shared" si="1"/>
        <v>#REF!</v>
      </c>
      <c r="B43" s="12"/>
      <c r="C43" s="13" t="s">
        <v>815</v>
      </c>
      <c r="D43" s="14" t="s">
        <v>20</v>
      </c>
      <c r="E43" s="14" t="s">
        <v>624</v>
      </c>
      <c r="F43" s="13" t="s">
        <v>626</v>
      </c>
      <c r="G43" s="12" t="s">
        <v>23</v>
      </c>
      <c r="H43" s="15"/>
      <c r="I43" s="15"/>
      <c r="J43" s="15">
        <f t="shared" si="0"/>
        <v>0</v>
      </c>
    </row>
    <row r="44" ht="43.2" spans="1:10">
      <c r="A44" s="12" t="e">
        <f t="shared" si="1"/>
        <v>#REF!</v>
      </c>
      <c r="B44" s="12"/>
      <c r="C44" s="13" t="s">
        <v>815</v>
      </c>
      <c r="D44" s="14" t="s">
        <v>20</v>
      </c>
      <c r="E44" s="14" t="s">
        <v>624</v>
      </c>
      <c r="F44" s="13" t="s">
        <v>627</v>
      </c>
      <c r="G44" s="12" t="s">
        <v>23</v>
      </c>
      <c r="H44" s="15"/>
      <c r="I44" s="15"/>
      <c r="J44" s="15">
        <f t="shared" si="0"/>
        <v>0</v>
      </c>
    </row>
    <row r="45" ht="43.2" spans="1:10">
      <c r="A45" s="12" t="e">
        <f t="shared" si="1"/>
        <v>#REF!</v>
      </c>
      <c r="B45" s="12"/>
      <c r="C45" s="13" t="s">
        <v>815</v>
      </c>
      <c r="D45" s="14" t="s">
        <v>20</v>
      </c>
      <c r="E45" s="14" t="s">
        <v>624</v>
      </c>
      <c r="F45" s="13" t="s">
        <v>628</v>
      </c>
      <c r="G45" s="12" t="s">
        <v>23</v>
      </c>
      <c r="H45" s="15"/>
      <c r="I45" s="15"/>
      <c r="J45" s="15">
        <f t="shared" si="0"/>
        <v>0</v>
      </c>
    </row>
    <row r="46" ht="43.2" spans="1:10">
      <c r="A46" s="12" t="e">
        <f t="shared" si="1"/>
        <v>#REF!</v>
      </c>
      <c r="B46" s="12"/>
      <c r="C46" s="13" t="s">
        <v>815</v>
      </c>
      <c r="D46" s="14" t="s">
        <v>11</v>
      </c>
      <c r="E46" s="14" t="s">
        <v>630</v>
      </c>
      <c r="F46" s="13" t="s">
        <v>631</v>
      </c>
      <c r="G46" s="12" t="s">
        <v>17</v>
      </c>
      <c r="H46" s="15"/>
      <c r="I46" s="15"/>
      <c r="J46" s="15">
        <f t="shared" si="0"/>
        <v>0</v>
      </c>
    </row>
    <row r="47" ht="43.2" spans="1:10">
      <c r="A47" s="12" t="e">
        <f t="shared" si="1"/>
        <v>#REF!</v>
      </c>
      <c r="B47" s="12"/>
      <c r="C47" s="13" t="s">
        <v>817</v>
      </c>
      <c r="D47" s="14" t="s">
        <v>20</v>
      </c>
      <c r="E47" s="14" t="s">
        <v>47</v>
      </c>
      <c r="F47" s="13" t="s">
        <v>48</v>
      </c>
      <c r="G47" s="12" t="s">
        <v>49</v>
      </c>
      <c r="H47" s="15"/>
      <c r="I47" s="15"/>
      <c r="J47" s="15">
        <f t="shared" si="0"/>
        <v>0</v>
      </c>
    </row>
    <row r="48" ht="43.2" spans="1:10">
      <c r="A48" s="12" t="e">
        <f t="shared" si="1"/>
        <v>#REF!</v>
      </c>
      <c r="B48" s="12"/>
      <c r="C48" s="13" t="s">
        <v>817</v>
      </c>
      <c r="D48" s="14" t="s">
        <v>20</v>
      </c>
      <c r="E48" s="14" t="s">
        <v>624</v>
      </c>
      <c r="F48" s="13" t="s">
        <v>625</v>
      </c>
      <c r="G48" s="12" t="s">
        <v>23</v>
      </c>
      <c r="H48" s="15"/>
      <c r="I48" s="15"/>
      <c r="J48" s="15">
        <f t="shared" si="0"/>
        <v>0</v>
      </c>
    </row>
    <row r="49" ht="43.2" spans="1:10">
      <c r="A49" s="12" t="e">
        <f t="shared" si="1"/>
        <v>#REF!</v>
      </c>
      <c r="B49" s="12"/>
      <c r="C49" s="13" t="s">
        <v>817</v>
      </c>
      <c r="D49" s="14" t="s">
        <v>20</v>
      </c>
      <c r="E49" s="14" t="s">
        <v>624</v>
      </c>
      <c r="F49" s="13" t="s">
        <v>626</v>
      </c>
      <c r="G49" s="12" t="s">
        <v>23</v>
      </c>
      <c r="H49" s="15"/>
      <c r="I49" s="15"/>
      <c r="J49" s="15">
        <f t="shared" si="0"/>
        <v>0</v>
      </c>
    </row>
    <row r="50" ht="43.2" spans="1:10">
      <c r="A50" s="12" t="e">
        <f t="shared" si="1"/>
        <v>#REF!</v>
      </c>
      <c r="B50" s="12"/>
      <c r="C50" s="13" t="s">
        <v>817</v>
      </c>
      <c r="D50" s="14" t="s">
        <v>20</v>
      </c>
      <c r="E50" s="14" t="s">
        <v>624</v>
      </c>
      <c r="F50" s="13" t="s">
        <v>627</v>
      </c>
      <c r="G50" s="12" t="s">
        <v>23</v>
      </c>
      <c r="H50" s="15"/>
      <c r="I50" s="15"/>
      <c r="J50" s="15">
        <f t="shared" si="0"/>
        <v>0</v>
      </c>
    </row>
    <row r="51" ht="43.2" spans="1:10">
      <c r="A51" s="12" t="e">
        <f t="shared" si="1"/>
        <v>#REF!</v>
      </c>
      <c r="B51" s="12"/>
      <c r="C51" s="13" t="s">
        <v>817</v>
      </c>
      <c r="D51" s="14" t="s">
        <v>20</v>
      </c>
      <c r="E51" s="14" t="s">
        <v>624</v>
      </c>
      <c r="F51" s="13" t="s">
        <v>628</v>
      </c>
      <c r="G51" s="12" t="s">
        <v>23</v>
      </c>
      <c r="H51" s="15"/>
      <c r="I51" s="15"/>
      <c r="J51" s="15">
        <f t="shared" si="0"/>
        <v>0</v>
      </c>
    </row>
    <row r="52" ht="43.2" spans="1:10">
      <c r="A52" s="12" t="e">
        <f t="shared" si="1"/>
        <v>#REF!</v>
      </c>
      <c r="B52" s="12"/>
      <c r="C52" s="13" t="s">
        <v>817</v>
      </c>
      <c r="D52" s="14" t="s">
        <v>11</v>
      </c>
      <c r="E52" s="14" t="s">
        <v>630</v>
      </c>
      <c r="F52" s="13" t="s">
        <v>631</v>
      </c>
      <c r="G52" s="12" t="s">
        <v>17</v>
      </c>
      <c r="H52" s="15"/>
      <c r="I52" s="15"/>
      <c r="J52" s="15">
        <f t="shared" si="0"/>
        <v>0</v>
      </c>
    </row>
    <row r="53" ht="43.2" spans="1:10">
      <c r="A53" s="12" t="e">
        <f t="shared" si="1"/>
        <v>#REF!</v>
      </c>
      <c r="B53" s="12"/>
      <c r="C53" s="13" t="s">
        <v>819</v>
      </c>
      <c r="D53" s="14" t="s">
        <v>20</v>
      </c>
      <c r="E53" s="14" t="s">
        <v>47</v>
      </c>
      <c r="F53" s="13" t="s">
        <v>48</v>
      </c>
      <c r="G53" s="12" t="s">
        <v>49</v>
      </c>
      <c r="H53" s="15"/>
      <c r="I53" s="15"/>
      <c r="J53" s="15">
        <f t="shared" si="0"/>
        <v>0</v>
      </c>
    </row>
    <row r="54" ht="43.2" spans="1:10">
      <c r="A54" s="12" t="e">
        <f t="shared" si="1"/>
        <v>#REF!</v>
      </c>
      <c r="B54" s="12"/>
      <c r="C54" s="13" t="s">
        <v>819</v>
      </c>
      <c r="D54" s="14" t="s">
        <v>20</v>
      </c>
      <c r="E54" s="14" t="s">
        <v>624</v>
      </c>
      <c r="F54" s="13" t="s">
        <v>625</v>
      </c>
      <c r="G54" s="12" t="s">
        <v>23</v>
      </c>
      <c r="H54" s="15"/>
      <c r="I54" s="15"/>
      <c r="J54" s="15">
        <f t="shared" si="0"/>
        <v>0</v>
      </c>
    </row>
    <row r="55" ht="43.2" spans="1:10">
      <c r="A55" s="12" t="e">
        <f t="shared" si="1"/>
        <v>#REF!</v>
      </c>
      <c r="B55" s="12"/>
      <c r="C55" s="13" t="s">
        <v>819</v>
      </c>
      <c r="D55" s="14" t="s">
        <v>20</v>
      </c>
      <c r="E55" s="14" t="s">
        <v>624</v>
      </c>
      <c r="F55" s="13" t="s">
        <v>626</v>
      </c>
      <c r="G55" s="12" t="s">
        <v>23</v>
      </c>
      <c r="H55" s="15"/>
      <c r="I55" s="15"/>
      <c r="J55" s="15">
        <f t="shared" si="0"/>
        <v>0</v>
      </c>
    </row>
    <row r="56" ht="43.2" spans="1:10">
      <c r="A56" s="12" t="e">
        <f t="shared" si="1"/>
        <v>#REF!</v>
      </c>
      <c r="B56" s="12"/>
      <c r="C56" s="13" t="s">
        <v>819</v>
      </c>
      <c r="D56" s="14" t="s">
        <v>20</v>
      </c>
      <c r="E56" s="14" t="s">
        <v>624</v>
      </c>
      <c r="F56" s="13" t="s">
        <v>627</v>
      </c>
      <c r="G56" s="12" t="s">
        <v>23</v>
      </c>
      <c r="H56" s="15"/>
      <c r="I56" s="15"/>
      <c r="J56" s="15">
        <f t="shared" si="0"/>
        <v>0</v>
      </c>
    </row>
    <row r="57" ht="43.2" spans="1:10">
      <c r="A57" s="12" t="e">
        <f t="shared" si="1"/>
        <v>#REF!</v>
      </c>
      <c r="B57" s="12"/>
      <c r="C57" s="13" t="s">
        <v>819</v>
      </c>
      <c r="D57" s="14" t="s">
        <v>20</v>
      </c>
      <c r="E57" s="14" t="s">
        <v>624</v>
      </c>
      <c r="F57" s="13" t="s">
        <v>628</v>
      </c>
      <c r="G57" s="12" t="s">
        <v>23</v>
      </c>
      <c r="H57" s="15"/>
      <c r="I57" s="15"/>
      <c r="J57" s="15">
        <f t="shared" si="0"/>
        <v>0</v>
      </c>
    </row>
    <row r="58" ht="43.2" spans="1:10">
      <c r="A58" s="12" t="e">
        <f t="shared" si="1"/>
        <v>#REF!</v>
      </c>
      <c r="B58" s="12"/>
      <c r="C58" s="13" t="s">
        <v>819</v>
      </c>
      <c r="D58" s="14" t="s">
        <v>11</v>
      </c>
      <c r="E58" s="14" t="s">
        <v>630</v>
      </c>
      <c r="F58" s="13" t="s">
        <v>631</v>
      </c>
      <c r="G58" s="12" t="s">
        <v>17</v>
      </c>
      <c r="H58" s="15"/>
      <c r="I58" s="15"/>
      <c r="J58" s="15">
        <f t="shared" si="0"/>
        <v>0</v>
      </c>
    </row>
    <row r="59" ht="43.2" spans="1:10">
      <c r="A59" s="12" t="e">
        <f t="shared" si="1"/>
        <v>#REF!</v>
      </c>
      <c r="B59" s="12"/>
      <c r="C59" s="13" t="s">
        <v>821</v>
      </c>
      <c r="D59" s="14" t="s">
        <v>20</v>
      </c>
      <c r="E59" s="14" t="s">
        <v>47</v>
      </c>
      <c r="F59" s="13" t="s">
        <v>48</v>
      </c>
      <c r="G59" s="12" t="s">
        <v>49</v>
      </c>
      <c r="H59" s="15"/>
      <c r="I59" s="15"/>
      <c r="J59" s="15">
        <f t="shared" si="0"/>
        <v>0</v>
      </c>
    </row>
    <row r="60" ht="43.2" spans="1:10">
      <c r="A60" s="12" t="e">
        <f t="shared" si="1"/>
        <v>#REF!</v>
      </c>
      <c r="B60" s="12"/>
      <c r="C60" s="13" t="s">
        <v>821</v>
      </c>
      <c r="D60" s="14" t="s">
        <v>20</v>
      </c>
      <c r="E60" s="14" t="s">
        <v>624</v>
      </c>
      <c r="F60" s="13" t="s">
        <v>625</v>
      </c>
      <c r="G60" s="12" t="s">
        <v>23</v>
      </c>
      <c r="H60" s="15"/>
      <c r="I60" s="15"/>
      <c r="J60" s="15">
        <f t="shared" si="0"/>
        <v>0</v>
      </c>
    </row>
    <row r="61" ht="43.2" spans="1:10">
      <c r="A61" s="12" t="e">
        <f t="shared" si="1"/>
        <v>#REF!</v>
      </c>
      <c r="B61" s="12"/>
      <c r="C61" s="13" t="s">
        <v>821</v>
      </c>
      <c r="D61" s="14" t="s">
        <v>20</v>
      </c>
      <c r="E61" s="14" t="s">
        <v>624</v>
      </c>
      <c r="F61" s="13" t="s">
        <v>626</v>
      </c>
      <c r="G61" s="12" t="s">
        <v>23</v>
      </c>
      <c r="H61" s="15"/>
      <c r="I61" s="15"/>
      <c r="J61" s="15">
        <f t="shared" si="0"/>
        <v>0</v>
      </c>
    </row>
    <row r="62" ht="43.2" spans="1:10">
      <c r="A62" s="12" t="e">
        <f t="shared" si="1"/>
        <v>#REF!</v>
      </c>
      <c r="B62" s="12"/>
      <c r="C62" s="13" t="s">
        <v>821</v>
      </c>
      <c r="D62" s="14" t="s">
        <v>20</v>
      </c>
      <c r="E62" s="14" t="s">
        <v>624</v>
      </c>
      <c r="F62" s="13" t="s">
        <v>627</v>
      </c>
      <c r="G62" s="12" t="s">
        <v>23</v>
      </c>
      <c r="H62" s="15"/>
      <c r="I62" s="15"/>
      <c r="J62" s="15">
        <f t="shared" si="0"/>
        <v>0</v>
      </c>
    </row>
    <row r="63" ht="43.2" spans="1:10">
      <c r="A63" s="12" t="e">
        <f t="shared" si="1"/>
        <v>#REF!</v>
      </c>
      <c r="B63" s="12"/>
      <c r="C63" s="13" t="s">
        <v>821</v>
      </c>
      <c r="D63" s="14" t="s">
        <v>20</v>
      </c>
      <c r="E63" s="14" t="s">
        <v>624</v>
      </c>
      <c r="F63" s="13" t="s">
        <v>628</v>
      </c>
      <c r="G63" s="12" t="s">
        <v>23</v>
      </c>
      <c r="H63" s="15"/>
      <c r="I63" s="15"/>
      <c r="J63" s="15">
        <f t="shared" si="0"/>
        <v>0</v>
      </c>
    </row>
    <row r="64" ht="43.2" spans="1:10">
      <c r="A64" s="12" t="e">
        <f t="shared" si="1"/>
        <v>#REF!</v>
      </c>
      <c r="B64" s="12"/>
      <c r="C64" s="13" t="s">
        <v>821</v>
      </c>
      <c r="D64" s="14" t="s">
        <v>11</v>
      </c>
      <c r="E64" s="14" t="s">
        <v>630</v>
      </c>
      <c r="F64" s="13" t="s">
        <v>631</v>
      </c>
      <c r="G64" s="12" t="s">
        <v>17</v>
      </c>
      <c r="H64" s="15"/>
      <c r="I64" s="15"/>
      <c r="J64" s="15">
        <f t="shared" si="0"/>
        <v>0</v>
      </c>
    </row>
    <row r="65" ht="43.2" spans="1:10">
      <c r="A65" s="12" t="e">
        <f t="shared" si="1"/>
        <v>#REF!</v>
      </c>
      <c r="B65" s="12"/>
      <c r="C65" s="13" t="s">
        <v>823</v>
      </c>
      <c r="D65" s="14" t="s">
        <v>20</v>
      </c>
      <c r="E65" s="14" t="s">
        <v>47</v>
      </c>
      <c r="F65" s="13" t="s">
        <v>48</v>
      </c>
      <c r="G65" s="12" t="s">
        <v>49</v>
      </c>
      <c r="H65" s="15"/>
      <c r="I65" s="15"/>
      <c r="J65" s="15">
        <f t="shared" si="0"/>
        <v>0</v>
      </c>
    </row>
    <row r="66" ht="43.2" spans="1:10">
      <c r="A66" s="12" t="e">
        <f t="shared" si="1"/>
        <v>#REF!</v>
      </c>
      <c r="B66" s="12"/>
      <c r="C66" s="13" t="s">
        <v>823</v>
      </c>
      <c r="D66" s="14" t="s">
        <v>20</v>
      </c>
      <c r="E66" s="14" t="s">
        <v>624</v>
      </c>
      <c r="F66" s="13" t="s">
        <v>625</v>
      </c>
      <c r="G66" s="12" t="s">
        <v>23</v>
      </c>
      <c r="H66" s="15"/>
      <c r="I66" s="15"/>
      <c r="J66" s="15">
        <f t="shared" si="0"/>
        <v>0</v>
      </c>
    </row>
    <row r="67" ht="43.2" spans="1:10">
      <c r="A67" s="12" t="e">
        <f t="shared" si="1"/>
        <v>#REF!</v>
      </c>
      <c r="B67" s="12"/>
      <c r="C67" s="13" t="s">
        <v>823</v>
      </c>
      <c r="D67" s="14" t="s">
        <v>20</v>
      </c>
      <c r="E67" s="14" t="s">
        <v>624</v>
      </c>
      <c r="F67" s="13" t="s">
        <v>626</v>
      </c>
      <c r="G67" s="12" t="s">
        <v>23</v>
      </c>
      <c r="H67" s="15"/>
      <c r="I67" s="15"/>
      <c r="J67" s="15">
        <f t="shared" si="0"/>
        <v>0</v>
      </c>
    </row>
    <row r="68" ht="43.2" spans="1:10">
      <c r="A68" s="12" t="e">
        <f t="shared" si="1"/>
        <v>#REF!</v>
      </c>
      <c r="B68" s="12"/>
      <c r="C68" s="13" t="s">
        <v>823</v>
      </c>
      <c r="D68" s="14" t="s">
        <v>20</v>
      </c>
      <c r="E68" s="14" t="s">
        <v>624</v>
      </c>
      <c r="F68" s="13" t="s">
        <v>627</v>
      </c>
      <c r="G68" s="12" t="s">
        <v>23</v>
      </c>
      <c r="H68" s="15"/>
      <c r="I68" s="15"/>
      <c r="J68" s="15">
        <f t="shared" ref="J68:J131" si="2">+ROUND(PRODUCT(H68*I68),0)</f>
        <v>0</v>
      </c>
    </row>
    <row r="69" ht="43.2" spans="1:10">
      <c r="A69" s="12" t="e">
        <f t="shared" ref="A69:A132" si="3">1+A68</f>
        <v>#REF!</v>
      </c>
      <c r="B69" s="12"/>
      <c r="C69" s="13" t="s">
        <v>823</v>
      </c>
      <c r="D69" s="14" t="s">
        <v>20</v>
      </c>
      <c r="E69" s="14" t="s">
        <v>624</v>
      </c>
      <c r="F69" s="13" t="s">
        <v>628</v>
      </c>
      <c r="G69" s="12" t="s">
        <v>23</v>
      </c>
      <c r="H69" s="15"/>
      <c r="I69" s="15"/>
      <c r="J69" s="15">
        <f t="shared" si="2"/>
        <v>0</v>
      </c>
    </row>
    <row r="70" ht="43.2" spans="1:10">
      <c r="A70" s="12" t="e">
        <f t="shared" si="3"/>
        <v>#REF!</v>
      </c>
      <c r="B70" s="12"/>
      <c r="C70" s="13" t="s">
        <v>823</v>
      </c>
      <c r="D70" s="14" t="s">
        <v>11</v>
      </c>
      <c r="E70" s="14" t="s">
        <v>630</v>
      </c>
      <c r="F70" s="13" t="s">
        <v>631</v>
      </c>
      <c r="G70" s="12" t="s">
        <v>17</v>
      </c>
      <c r="H70" s="15"/>
      <c r="I70" s="15"/>
      <c r="J70" s="15">
        <f t="shared" si="2"/>
        <v>0</v>
      </c>
    </row>
    <row r="71" ht="28.8" spans="1:10">
      <c r="A71" s="12" t="e">
        <f t="shared" si="3"/>
        <v>#REF!</v>
      </c>
      <c r="B71" s="12"/>
      <c r="C71" s="13" t="s">
        <v>825</v>
      </c>
      <c r="D71" s="14" t="s">
        <v>11</v>
      </c>
      <c r="E71" s="14" t="s">
        <v>634</v>
      </c>
      <c r="F71" s="13" t="s">
        <v>635</v>
      </c>
      <c r="G71" s="12" t="s">
        <v>23</v>
      </c>
      <c r="H71" s="15"/>
      <c r="I71" s="15"/>
      <c r="J71" s="15">
        <f t="shared" si="2"/>
        <v>0</v>
      </c>
    </row>
    <row r="72" ht="28.8" spans="1:10">
      <c r="A72" s="12" t="e">
        <f t="shared" si="3"/>
        <v>#REF!</v>
      </c>
      <c r="B72" s="12"/>
      <c r="C72" s="13" t="s">
        <v>825</v>
      </c>
      <c r="D72" s="14" t="s">
        <v>20</v>
      </c>
      <c r="E72" s="14" t="s">
        <v>636</v>
      </c>
      <c r="F72" s="13" t="s">
        <v>637</v>
      </c>
      <c r="G72" s="12" t="s">
        <v>23</v>
      </c>
      <c r="H72" s="15"/>
      <c r="I72" s="15"/>
      <c r="J72" s="15">
        <f t="shared" si="2"/>
        <v>0</v>
      </c>
    </row>
    <row r="73" ht="28.8" spans="1:10">
      <c r="A73" s="12" t="e">
        <f t="shared" si="3"/>
        <v>#REF!</v>
      </c>
      <c r="B73" s="12"/>
      <c r="C73" s="13" t="s">
        <v>827</v>
      </c>
      <c r="D73" s="14" t="s">
        <v>11</v>
      </c>
      <c r="E73" s="14" t="s">
        <v>634</v>
      </c>
      <c r="F73" s="13" t="s">
        <v>640</v>
      </c>
      <c r="G73" s="12" t="s">
        <v>23</v>
      </c>
      <c r="H73" s="15"/>
      <c r="I73" s="15"/>
      <c r="J73" s="15">
        <f t="shared" si="2"/>
        <v>0</v>
      </c>
    </row>
    <row r="74" ht="28.8" spans="1:10">
      <c r="A74" s="12" t="e">
        <f t="shared" si="3"/>
        <v>#REF!</v>
      </c>
      <c r="B74" s="12"/>
      <c r="C74" s="13" t="s">
        <v>827</v>
      </c>
      <c r="D74" s="14" t="s">
        <v>20</v>
      </c>
      <c r="E74" s="14" t="s">
        <v>636</v>
      </c>
      <c r="F74" s="13" t="s">
        <v>641</v>
      </c>
      <c r="G74" s="12" t="s">
        <v>23</v>
      </c>
      <c r="H74" s="15"/>
      <c r="I74" s="15"/>
      <c r="J74" s="15">
        <f t="shared" si="2"/>
        <v>0</v>
      </c>
    </row>
    <row r="75" ht="28.8" spans="1:10">
      <c r="A75" s="12" t="e">
        <f t="shared" si="3"/>
        <v>#REF!</v>
      </c>
      <c r="B75" s="12"/>
      <c r="C75" s="13" t="s">
        <v>829</v>
      </c>
      <c r="D75" s="14" t="s">
        <v>11</v>
      </c>
      <c r="E75" s="14" t="s">
        <v>634</v>
      </c>
      <c r="F75" s="13" t="s">
        <v>650</v>
      </c>
      <c r="G75" s="12" t="s">
        <v>23</v>
      </c>
      <c r="H75" s="15"/>
      <c r="I75" s="15"/>
      <c r="J75" s="15">
        <f t="shared" si="2"/>
        <v>0</v>
      </c>
    </row>
    <row r="76" ht="28.8" spans="1:10">
      <c r="A76" s="12" t="e">
        <f t="shared" si="3"/>
        <v>#REF!</v>
      </c>
      <c r="B76" s="12"/>
      <c r="C76" s="13" t="s">
        <v>829</v>
      </c>
      <c r="D76" s="14" t="s">
        <v>20</v>
      </c>
      <c r="E76" s="14" t="s">
        <v>636</v>
      </c>
      <c r="F76" s="13" t="s">
        <v>644</v>
      </c>
      <c r="G76" s="12" t="s">
        <v>23</v>
      </c>
      <c r="H76" s="15"/>
      <c r="I76" s="15"/>
      <c r="J76" s="15">
        <f t="shared" si="2"/>
        <v>0</v>
      </c>
    </row>
    <row r="77" ht="28.8" spans="1:10">
      <c r="A77" s="12" t="e">
        <f t="shared" si="3"/>
        <v>#REF!</v>
      </c>
      <c r="B77" s="12"/>
      <c r="C77" s="13" t="s">
        <v>831</v>
      </c>
      <c r="D77" s="14" t="s">
        <v>11</v>
      </c>
      <c r="E77" s="14" t="s">
        <v>634</v>
      </c>
      <c r="F77" s="13" t="s">
        <v>635</v>
      </c>
      <c r="G77" s="12" t="s">
        <v>23</v>
      </c>
      <c r="H77" s="15"/>
      <c r="I77" s="15"/>
      <c r="J77" s="15">
        <f t="shared" si="2"/>
        <v>0</v>
      </c>
    </row>
    <row r="78" ht="28.8" spans="1:10">
      <c r="A78" s="12" t="e">
        <f t="shared" si="3"/>
        <v>#REF!</v>
      </c>
      <c r="B78" s="12"/>
      <c r="C78" s="13" t="s">
        <v>831</v>
      </c>
      <c r="D78" s="14" t="s">
        <v>11</v>
      </c>
      <c r="E78" s="14" t="s">
        <v>634</v>
      </c>
      <c r="F78" s="13" t="s">
        <v>640</v>
      </c>
      <c r="G78" s="12" t="s">
        <v>23</v>
      </c>
      <c r="H78" s="15"/>
      <c r="I78" s="15"/>
      <c r="J78" s="15">
        <f t="shared" si="2"/>
        <v>0</v>
      </c>
    </row>
    <row r="79" ht="28.8" spans="1:10">
      <c r="A79" s="12" t="e">
        <f t="shared" si="3"/>
        <v>#REF!</v>
      </c>
      <c r="B79" s="12"/>
      <c r="C79" s="13" t="s">
        <v>831</v>
      </c>
      <c r="D79" s="14" t="s">
        <v>20</v>
      </c>
      <c r="E79" s="14" t="s">
        <v>636</v>
      </c>
      <c r="F79" s="13" t="s">
        <v>647</v>
      </c>
      <c r="G79" s="12" t="s">
        <v>23</v>
      </c>
      <c r="H79" s="15"/>
      <c r="I79" s="15"/>
      <c r="J79" s="15">
        <f t="shared" si="2"/>
        <v>0</v>
      </c>
    </row>
    <row r="80" ht="28.8" spans="1:10">
      <c r="A80" s="12" t="e">
        <f t="shared" si="3"/>
        <v>#REF!</v>
      </c>
      <c r="B80" s="12"/>
      <c r="C80" s="13" t="s">
        <v>833</v>
      </c>
      <c r="D80" s="14" t="s">
        <v>11</v>
      </c>
      <c r="E80" s="14" t="s">
        <v>634</v>
      </c>
      <c r="F80" s="13" t="s">
        <v>640</v>
      </c>
      <c r="G80" s="12" t="s">
        <v>23</v>
      </c>
      <c r="H80" s="15"/>
      <c r="I80" s="15"/>
      <c r="J80" s="15">
        <f t="shared" si="2"/>
        <v>0</v>
      </c>
    </row>
    <row r="81" ht="28.8" spans="1:10">
      <c r="A81" s="12" t="e">
        <f t="shared" si="3"/>
        <v>#REF!</v>
      </c>
      <c r="B81" s="12"/>
      <c r="C81" s="13" t="s">
        <v>833</v>
      </c>
      <c r="D81" s="14" t="s">
        <v>11</v>
      </c>
      <c r="E81" s="14" t="s">
        <v>634</v>
      </c>
      <c r="F81" s="13" t="s">
        <v>650</v>
      </c>
      <c r="G81" s="12" t="s">
        <v>23</v>
      </c>
      <c r="H81" s="15"/>
      <c r="I81" s="15"/>
      <c r="J81" s="15">
        <f t="shared" si="2"/>
        <v>0</v>
      </c>
    </row>
    <row r="82" ht="28.8" spans="1:10">
      <c r="A82" s="12" t="e">
        <f t="shared" si="3"/>
        <v>#REF!</v>
      </c>
      <c r="B82" s="12"/>
      <c r="C82" s="13" t="s">
        <v>833</v>
      </c>
      <c r="D82" s="14" t="s">
        <v>20</v>
      </c>
      <c r="E82" s="14" t="s">
        <v>636</v>
      </c>
      <c r="F82" s="13" t="s">
        <v>651</v>
      </c>
      <c r="G82" s="12" t="s">
        <v>23</v>
      </c>
      <c r="H82" s="15"/>
      <c r="I82" s="15"/>
      <c r="J82" s="15">
        <f t="shared" si="2"/>
        <v>0</v>
      </c>
    </row>
    <row r="83" ht="28.8" spans="1:10">
      <c r="A83" s="12" t="e">
        <f t="shared" si="3"/>
        <v>#REF!</v>
      </c>
      <c r="B83" s="12"/>
      <c r="C83" s="13" t="s">
        <v>835</v>
      </c>
      <c r="D83" s="14" t="s">
        <v>11</v>
      </c>
      <c r="E83" s="14" t="s">
        <v>634</v>
      </c>
      <c r="F83" s="13" t="s">
        <v>635</v>
      </c>
      <c r="G83" s="12" t="s">
        <v>23</v>
      </c>
      <c r="H83" s="15"/>
      <c r="I83" s="15"/>
      <c r="J83" s="15">
        <f t="shared" si="2"/>
        <v>0</v>
      </c>
    </row>
    <row r="84" ht="28.8" spans="1:10">
      <c r="A84" s="12" t="e">
        <f t="shared" si="3"/>
        <v>#REF!</v>
      </c>
      <c r="B84" s="12"/>
      <c r="C84" s="13" t="s">
        <v>835</v>
      </c>
      <c r="D84" s="14" t="s">
        <v>11</v>
      </c>
      <c r="E84" s="14" t="s">
        <v>634</v>
      </c>
      <c r="F84" s="13" t="s">
        <v>650</v>
      </c>
      <c r="G84" s="12" t="s">
        <v>23</v>
      </c>
      <c r="H84" s="15"/>
      <c r="I84" s="15"/>
      <c r="J84" s="15">
        <f t="shared" si="2"/>
        <v>0</v>
      </c>
    </row>
    <row r="85" ht="28.8" spans="1:10">
      <c r="A85" s="12" t="e">
        <f t="shared" si="3"/>
        <v>#REF!</v>
      </c>
      <c r="B85" s="12"/>
      <c r="C85" s="13" t="s">
        <v>835</v>
      </c>
      <c r="D85" s="14" t="s">
        <v>20</v>
      </c>
      <c r="E85" s="14" t="s">
        <v>636</v>
      </c>
      <c r="F85" s="13" t="s">
        <v>654</v>
      </c>
      <c r="G85" s="12" t="s">
        <v>23</v>
      </c>
      <c r="H85" s="15"/>
      <c r="I85" s="15"/>
      <c r="J85" s="15">
        <f t="shared" si="2"/>
        <v>0</v>
      </c>
    </row>
    <row r="86" spans="1:10">
      <c r="A86" s="12" t="e">
        <f t="shared" si="3"/>
        <v>#REF!</v>
      </c>
      <c r="B86" s="12"/>
      <c r="C86" s="13" t="s">
        <v>837</v>
      </c>
      <c r="D86" s="14" t="s">
        <v>11</v>
      </c>
      <c r="E86" s="14" t="s">
        <v>665</v>
      </c>
      <c r="F86" s="13" t="s">
        <v>666</v>
      </c>
      <c r="G86" s="12" t="s">
        <v>34</v>
      </c>
      <c r="H86" s="15"/>
      <c r="I86" s="15"/>
      <c r="J86" s="15">
        <f t="shared" si="2"/>
        <v>0</v>
      </c>
    </row>
    <row r="87" spans="1:10">
      <c r="A87" s="12" t="e">
        <f t="shared" si="3"/>
        <v>#REF!</v>
      </c>
      <c r="B87" s="12"/>
      <c r="C87" s="13" t="s">
        <v>837</v>
      </c>
      <c r="D87" s="14" t="s">
        <v>11</v>
      </c>
      <c r="E87" s="14" t="s">
        <v>12</v>
      </c>
      <c r="F87" s="13" t="s">
        <v>13</v>
      </c>
      <c r="G87" s="12" t="s">
        <v>14</v>
      </c>
      <c r="H87" s="15"/>
      <c r="I87" s="15"/>
      <c r="J87" s="15">
        <f t="shared" si="2"/>
        <v>0</v>
      </c>
    </row>
    <row r="88" spans="1:10">
      <c r="A88" s="12" t="e">
        <f t="shared" si="3"/>
        <v>#REF!</v>
      </c>
      <c r="B88" s="12"/>
      <c r="C88" s="13" t="s">
        <v>837</v>
      </c>
      <c r="D88" s="14" t="s">
        <v>11</v>
      </c>
      <c r="E88" s="14" t="s">
        <v>12</v>
      </c>
      <c r="F88" s="13" t="s">
        <v>15</v>
      </c>
      <c r="G88" s="12" t="s">
        <v>14</v>
      </c>
      <c r="H88" s="15"/>
      <c r="I88" s="15"/>
      <c r="J88" s="15">
        <f t="shared" si="2"/>
        <v>0</v>
      </c>
    </row>
    <row r="89" spans="1:10">
      <c r="A89" s="12" t="e">
        <f t="shared" si="3"/>
        <v>#REF!</v>
      </c>
      <c r="B89" s="12"/>
      <c r="C89" s="13" t="s">
        <v>837</v>
      </c>
      <c r="D89" s="14" t="s">
        <v>11</v>
      </c>
      <c r="E89" s="14" t="s">
        <v>12</v>
      </c>
      <c r="F89" s="13" t="s">
        <v>28</v>
      </c>
      <c r="G89" s="12" t="s">
        <v>14</v>
      </c>
      <c r="H89" s="15"/>
      <c r="I89" s="15"/>
      <c r="J89" s="15">
        <f t="shared" si="2"/>
        <v>0</v>
      </c>
    </row>
    <row r="90" ht="28.8" spans="1:10">
      <c r="A90" s="12" t="e">
        <f t="shared" si="3"/>
        <v>#REF!</v>
      </c>
      <c r="B90" s="12"/>
      <c r="C90" s="13" t="s">
        <v>837</v>
      </c>
      <c r="D90" s="14" t="s">
        <v>20</v>
      </c>
      <c r="E90" s="14" t="s">
        <v>59</v>
      </c>
      <c r="F90" s="13" t="s">
        <v>667</v>
      </c>
      <c r="G90" s="12" t="s">
        <v>49</v>
      </c>
      <c r="H90" s="15"/>
      <c r="I90" s="15"/>
      <c r="J90" s="15">
        <f t="shared" si="2"/>
        <v>0</v>
      </c>
    </row>
    <row r="91" spans="1:10">
      <c r="A91" s="12" t="e">
        <f t="shared" si="3"/>
        <v>#REF!</v>
      </c>
      <c r="B91" s="12"/>
      <c r="C91" s="13" t="s">
        <v>837</v>
      </c>
      <c r="D91" s="14" t="s">
        <v>20</v>
      </c>
      <c r="E91" s="14" t="s">
        <v>59</v>
      </c>
      <c r="F91" s="13" t="s">
        <v>668</v>
      </c>
      <c r="G91" s="12" t="s">
        <v>49</v>
      </c>
      <c r="H91" s="15"/>
      <c r="I91" s="15"/>
      <c r="J91" s="15">
        <f t="shared" si="2"/>
        <v>0</v>
      </c>
    </row>
    <row r="92" spans="1:10">
      <c r="A92" s="12" t="e">
        <f t="shared" si="3"/>
        <v>#REF!</v>
      </c>
      <c r="B92" s="12"/>
      <c r="C92" s="13" t="s">
        <v>837</v>
      </c>
      <c r="D92" s="14" t="s">
        <v>20</v>
      </c>
      <c r="E92" s="14" t="s">
        <v>59</v>
      </c>
      <c r="F92" s="13" t="s">
        <v>60</v>
      </c>
      <c r="G92" s="12" t="s">
        <v>49</v>
      </c>
      <c r="H92" s="15"/>
      <c r="I92" s="15"/>
      <c r="J92" s="15">
        <f t="shared" si="2"/>
        <v>0</v>
      </c>
    </row>
    <row r="93" spans="1:10">
      <c r="A93" s="12" t="e">
        <f t="shared" si="3"/>
        <v>#REF!</v>
      </c>
      <c r="B93" s="12"/>
      <c r="C93" s="13" t="s">
        <v>837</v>
      </c>
      <c r="D93" s="14" t="s">
        <v>20</v>
      </c>
      <c r="E93" s="14" t="s">
        <v>106</v>
      </c>
      <c r="F93" s="13" t="s">
        <v>838</v>
      </c>
      <c r="G93" s="12" t="s">
        <v>108</v>
      </c>
      <c r="H93" s="15"/>
      <c r="I93" s="15"/>
      <c r="J93" s="15">
        <f t="shared" si="2"/>
        <v>0</v>
      </c>
    </row>
    <row r="94" ht="28.8" spans="1:10">
      <c r="A94" s="12" t="e">
        <f t="shared" si="3"/>
        <v>#REF!</v>
      </c>
      <c r="B94" s="12"/>
      <c r="C94" s="13" t="s">
        <v>840</v>
      </c>
      <c r="D94" s="14" t="s">
        <v>11</v>
      </c>
      <c r="E94" s="14" t="s">
        <v>24</v>
      </c>
      <c r="F94" s="13" t="s">
        <v>604</v>
      </c>
      <c r="G94" s="12" t="s">
        <v>34</v>
      </c>
      <c r="H94" s="15"/>
      <c r="I94" s="15"/>
      <c r="J94" s="15">
        <f t="shared" si="2"/>
        <v>0</v>
      </c>
    </row>
    <row r="95" ht="28.8" spans="1:10">
      <c r="A95" s="12" t="e">
        <f t="shared" si="3"/>
        <v>#REF!</v>
      </c>
      <c r="B95" s="12"/>
      <c r="C95" s="13" t="s">
        <v>840</v>
      </c>
      <c r="D95" s="14" t="s">
        <v>11</v>
      </c>
      <c r="E95" s="14" t="s">
        <v>24</v>
      </c>
      <c r="F95" s="13" t="s">
        <v>605</v>
      </c>
      <c r="G95" s="12" t="s">
        <v>34</v>
      </c>
      <c r="H95" s="15"/>
      <c r="I95" s="15"/>
      <c r="J95" s="15">
        <f t="shared" si="2"/>
        <v>0</v>
      </c>
    </row>
    <row r="96" ht="28.8" spans="1:10">
      <c r="A96" s="12" t="e">
        <f t="shared" si="3"/>
        <v>#REF!</v>
      </c>
      <c r="B96" s="12"/>
      <c r="C96" s="13" t="s">
        <v>840</v>
      </c>
      <c r="D96" s="14" t="s">
        <v>11</v>
      </c>
      <c r="E96" s="14" t="s">
        <v>24</v>
      </c>
      <c r="F96" s="13" t="s">
        <v>606</v>
      </c>
      <c r="G96" s="12" t="s">
        <v>34</v>
      </c>
      <c r="H96" s="15"/>
      <c r="I96" s="15"/>
      <c r="J96" s="15">
        <f t="shared" si="2"/>
        <v>0</v>
      </c>
    </row>
    <row r="97" ht="28.8" spans="1:10">
      <c r="A97" s="12" t="e">
        <f t="shared" si="3"/>
        <v>#REF!</v>
      </c>
      <c r="B97" s="12"/>
      <c r="C97" s="13" t="s">
        <v>840</v>
      </c>
      <c r="D97" s="14" t="s">
        <v>20</v>
      </c>
      <c r="E97" s="14" t="s">
        <v>47</v>
      </c>
      <c r="F97" s="13" t="s">
        <v>50</v>
      </c>
      <c r="G97" s="12" t="s">
        <v>49</v>
      </c>
      <c r="H97" s="15"/>
      <c r="I97" s="15"/>
      <c r="J97" s="15">
        <f t="shared" si="2"/>
        <v>0</v>
      </c>
    </row>
    <row r="98" ht="28.8" spans="1:10">
      <c r="A98" s="12" t="e">
        <f t="shared" si="3"/>
        <v>#REF!</v>
      </c>
      <c r="B98" s="12"/>
      <c r="C98" s="13" t="s">
        <v>840</v>
      </c>
      <c r="D98" s="14" t="s">
        <v>20</v>
      </c>
      <c r="E98" s="14" t="s">
        <v>61</v>
      </c>
      <c r="F98" s="13" t="s">
        <v>78</v>
      </c>
      <c r="G98" s="12" t="s">
        <v>49</v>
      </c>
      <c r="H98" s="15"/>
      <c r="I98" s="15"/>
      <c r="J98" s="15">
        <f t="shared" si="2"/>
        <v>0</v>
      </c>
    </row>
    <row r="99" ht="28.8" spans="1:10">
      <c r="A99" s="12" t="e">
        <f t="shared" si="3"/>
        <v>#REF!</v>
      </c>
      <c r="B99" s="12"/>
      <c r="C99" s="13" t="s">
        <v>840</v>
      </c>
      <c r="D99" s="14" t="s">
        <v>20</v>
      </c>
      <c r="E99" s="14" t="s">
        <v>61</v>
      </c>
      <c r="F99" s="13" t="s">
        <v>607</v>
      </c>
      <c r="G99" s="12" t="s">
        <v>23</v>
      </c>
      <c r="H99" s="15"/>
      <c r="I99" s="15"/>
      <c r="J99" s="15">
        <f t="shared" si="2"/>
        <v>0</v>
      </c>
    </row>
    <row r="100" ht="28.8" spans="1:10">
      <c r="A100" s="12" t="e">
        <f t="shared" si="3"/>
        <v>#REF!</v>
      </c>
      <c r="B100" s="12"/>
      <c r="C100" s="13" t="s">
        <v>840</v>
      </c>
      <c r="D100" s="14" t="s">
        <v>20</v>
      </c>
      <c r="E100" s="14" t="s">
        <v>84</v>
      </c>
      <c r="F100" s="13" t="s">
        <v>86</v>
      </c>
      <c r="G100" s="12" t="s">
        <v>49</v>
      </c>
      <c r="H100" s="15"/>
      <c r="I100" s="15"/>
      <c r="J100" s="15">
        <f t="shared" si="2"/>
        <v>0</v>
      </c>
    </row>
    <row r="101" ht="28.8" spans="1:10">
      <c r="A101" s="12" t="e">
        <f t="shared" si="3"/>
        <v>#REF!</v>
      </c>
      <c r="B101" s="12"/>
      <c r="C101" s="13" t="s">
        <v>840</v>
      </c>
      <c r="D101" s="14" t="s">
        <v>20</v>
      </c>
      <c r="E101" s="14" t="s">
        <v>84</v>
      </c>
      <c r="F101" s="13" t="s">
        <v>88</v>
      </c>
      <c r="G101" s="12" t="s">
        <v>49</v>
      </c>
      <c r="H101" s="15"/>
      <c r="I101" s="15"/>
      <c r="J101" s="15">
        <f t="shared" si="2"/>
        <v>0</v>
      </c>
    </row>
    <row r="102" ht="28.8" spans="1:10">
      <c r="A102" s="12" t="e">
        <f t="shared" si="3"/>
        <v>#REF!</v>
      </c>
      <c r="B102" s="12"/>
      <c r="C102" s="13" t="s">
        <v>840</v>
      </c>
      <c r="D102" s="14" t="s">
        <v>20</v>
      </c>
      <c r="E102" s="14" t="s">
        <v>84</v>
      </c>
      <c r="F102" s="13" t="s">
        <v>89</v>
      </c>
      <c r="G102" s="12" t="s">
        <v>49</v>
      </c>
      <c r="H102" s="15"/>
      <c r="I102" s="15"/>
      <c r="J102" s="15">
        <f t="shared" si="2"/>
        <v>0</v>
      </c>
    </row>
    <row r="103" ht="28.8" spans="1:10">
      <c r="A103" s="12" t="e">
        <f t="shared" si="3"/>
        <v>#REF!</v>
      </c>
      <c r="B103" s="12"/>
      <c r="C103" s="13" t="s">
        <v>840</v>
      </c>
      <c r="D103" s="14" t="s">
        <v>20</v>
      </c>
      <c r="E103" s="14" t="s">
        <v>84</v>
      </c>
      <c r="F103" s="13" t="s">
        <v>608</v>
      </c>
      <c r="G103" s="12" t="s">
        <v>100</v>
      </c>
      <c r="H103" s="15"/>
      <c r="I103" s="15"/>
      <c r="J103" s="15">
        <f t="shared" si="2"/>
        <v>0</v>
      </c>
    </row>
    <row r="104" ht="28.8" spans="1:10">
      <c r="A104" s="12" t="e">
        <f t="shared" si="3"/>
        <v>#REF!</v>
      </c>
      <c r="B104" s="12"/>
      <c r="C104" s="13" t="s">
        <v>840</v>
      </c>
      <c r="D104" s="14" t="s">
        <v>20</v>
      </c>
      <c r="E104" s="14" t="s">
        <v>84</v>
      </c>
      <c r="F104" s="13" t="s">
        <v>609</v>
      </c>
      <c r="G104" s="12" t="s">
        <v>63</v>
      </c>
      <c r="H104" s="15"/>
      <c r="I104" s="15"/>
      <c r="J104" s="15">
        <f t="shared" si="2"/>
        <v>0</v>
      </c>
    </row>
    <row r="105" ht="28.8" spans="1:10">
      <c r="A105" s="12" t="e">
        <f t="shared" si="3"/>
        <v>#REF!</v>
      </c>
      <c r="B105" s="12"/>
      <c r="C105" s="13" t="s">
        <v>840</v>
      </c>
      <c r="D105" s="14" t="s">
        <v>20</v>
      </c>
      <c r="E105" s="14" t="s">
        <v>84</v>
      </c>
      <c r="F105" s="13" t="s">
        <v>610</v>
      </c>
      <c r="G105" s="12" t="s">
        <v>611</v>
      </c>
      <c r="H105" s="15"/>
      <c r="I105" s="15"/>
      <c r="J105" s="15">
        <f t="shared" si="2"/>
        <v>0</v>
      </c>
    </row>
    <row r="106" ht="28.8" spans="1:10">
      <c r="A106" s="12" t="e">
        <f t="shared" si="3"/>
        <v>#REF!</v>
      </c>
      <c r="B106" s="12"/>
      <c r="C106" s="13" t="s">
        <v>840</v>
      </c>
      <c r="D106" s="14" t="s">
        <v>20</v>
      </c>
      <c r="E106" s="14" t="s">
        <v>84</v>
      </c>
      <c r="F106" s="13" t="s">
        <v>612</v>
      </c>
      <c r="G106" s="12" t="s">
        <v>611</v>
      </c>
      <c r="H106" s="15"/>
      <c r="I106" s="15"/>
      <c r="J106" s="15">
        <f t="shared" si="2"/>
        <v>0</v>
      </c>
    </row>
    <row r="107" ht="28.8" spans="1:10">
      <c r="A107" s="12" t="e">
        <f t="shared" si="3"/>
        <v>#REF!</v>
      </c>
      <c r="B107" s="12"/>
      <c r="C107" s="13" t="s">
        <v>842</v>
      </c>
      <c r="D107" s="14" t="s">
        <v>20</v>
      </c>
      <c r="E107" s="14" t="s">
        <v>47</v>
      </c>
      <c r="F107" s="13" t="s">
        <v>48</v>
      </c>
      <c r="G107" s="12" t="s">
        <v>49</v>
      </c>
      <c r="H107" s="15"/>
      <c r="I107" s="15"/>
      <c r="J107" s="15">
        <f t="shared" si="2"/>
        <v>0</v>
      </c>
    </row>
    <row r="108" ht="28.8" spans="1:10">
      <c r="A108" s="12" t="e">
        <f t="shared" si="3"/>
        <v>#REF!</v>
      </c>
      <c r="B108" s="12"/>
      <c r="C108" s="13" t="s">
        <v>842</v>
      </c>
      <c r="D108" s="14" t="s">
        <v>20</v>
      </c>
      <c r="E108" s="14" t="s">
        <v>624</v>
      </c>
      <c r="F108" s="13" t="s">
        <v>625</v>
      </c>
      <c r="G108" s="12" t="s">
        <v>23</v>
      </c>
      <c r="H108" s="15"/>
      <c r="I108" s="15"/>
      <c r="J108" s="15">
        <f t="shared" si="2"/>
        <v>0</v>
      </c>
    </row>
    <row r="109" ht="28.8" spans="1:10">
      <c r="A109" s="12" t="e">
        <f t="shared" si="3"/>
        <v>#REF!</v>
      </c>
      <c r="B109" s="12"/>
      <c r="C109" s="13" t="s">
        <v>842</v>
      </c>
      <c r="D109" s="14" t="s">
        <v>20</v>
      </c>
      <c r="E109" s="14" t="s">
        <v>624</v>
      </c>
      <c r="F109" s="13" t="s">
        <v>626</v>
      </c>
      <c r="G109" s="12" t="s">
        <v>23</v>
      </c>
      <c r="H109" s="15"/>
      <c r="I109" s="15"/>
      <c r="J109" s="15">
        <f t="shared" si="2"/>
        <v>0</v>
      </c>
    </row>
    <row r="110" ht="28.8" spans="1:10">
      <c r="A110" s="12" t="e">
        <f t="shared" si="3"/>
        <v>#REF!</v>
      </c>
      <c r="B110" s="12"/>
      <c r="C110" s="13" t="s">
        <v>842</v>
      </c>
      <c r="D110" s="14" t="s">
        <v>20</v>
      </c>
      <c r="E110" s="14" t="s">
        <v>624</v>
      </c>
      <c r="F110" s="13" t="s">
        <v>627</v>
      </c>
      <c r="G110" s="12" t="s">
        <v>23</v>
      </c>
      <c r="H110" s="15"/>
      <c r="I110" s="15"/>
      <c r="J110" s="15">
        <f t="shared" si="2"/>
        <v>0</v>
      </c>
    </row>
    <row r="111" ht="28.8" spans="1:10">
      <c r="A111" s="12" t="e">
        <f t="shared" si="3"/>
        <v>#REF!</v>
      </c>
      <c r="B111" s="12"/>
      <c r="C111" s="13" t="s">
        <v>842</v>
      </c>
      <c r="D111" s="14" t="s">
        <v>20</v>
      </c>
      <c r="E111" s="14" t="s">
        <v>624</v>
      </c>
      <c r="F111" s="13" t="s">
        <v>628</v>
      </c>
      <c r="G111" s="12" t="s">
        <v>23</v>
      </c>
      <c r="H111" s="15"/>
      <c r="I111" s="15"/>
      <c r="J111" s="15">
        <f t="shared" si="2"/>
        <v>0</v>
      </c>
    </row>
    <row r="112" ht="28.8" spans="1:10">
      <c r="A112" s="12" t="e">
        <f t="shared" si="3"/>
        <v>#REF!</v>
      </c>
      <c r="B112" s="12"/>
      <c r="C112" s="13" t="s">
        <v>842</v>
      </c>
      <c r="D112" s="14" t="s">
        <v>11</v>
      </c>
      <c r="E112" s="14" t="s">
        <v>630</v>
      </c>
      <c r="F112" s="13" t="s">
        <v>631</v>
      </c>
      <c r="G112" s="12" t="s">
        <v>17</v>
      </c>
      <c r="H112" s="15"/>
      <c r="I112" s="15"/>
      <c r="J112" s="15">
        <f t="shared" si="2"/>
        <v>0</v>
      </c>
    </row>
    <row r="113" ht="28.8" spans="1:10">
      <c r="A113" s="12" t="e">
        <f t="shared" si="3"/>
        <v>#REF!</v>
      </c>
      <c r="B113" s="12"/>
      <c r="C113" s="13" t="s">
        <v>844</v>
      </c>
      <c r="D113" s="14" t="s">
        <v>20</v>
      </c>
      <c r="E113" s="14" t="s">
        <v>47</v>
      </c>
      <c r="F113" s="13" t="s">
        <v>48</v>
      </c>
      <c r="G113" s="12" t="s">
        <v>49</v>
      </c>
      <c r="H113" s="15"/>
      <c r="I113" s="15"/>
      <c r="J113" s="15">
        <f t="shared" si="2"/>
        <v>0</v>
      </c>
    </row>
    <row r="114" ht="28.8" spans="1:10">
      <c r="A114" s="12" t="e">
        <f t="shared" si="3"/>
        <v>#REF!</v>
      </c>
      <c r="B114" s="12"/>
      <c r="C114" s="13" t="s">
        <v>844</v>
      </c>
      <c r="D114" s="14" t="s">
        <v>20</v>
      </c>
      <c r="E114" s="14" t="s">
        <v>624</v>
      </c>
      <c r="F114" s="13" t="s">
        <v>625</v>
      </c>
      <c r="G114" s="12" t="s">
        <v>23</v>
      </c>
      <c r="H114" s="15"/>
      <c r="I114" s="15"/>
      <c r="J114" s="15">
        <f t="shared" si="2"/>
        <v>0</v>
      </c>
    </row>
    <row r="115" ht="28.8" spans="1:10">
      <c r="A115" s="12" t="e">
        <f t="shared" si="3"/>
        <v>#REF!</v>
      </c>
      <c r="B115" s="12"/>
      <c r="C115" s="13" t="s">
        <v>844</v>
      </c>
      <c r="D115" s="14" t="s">
        <v>20</v>
      </c>
      <c r="E115" s="14" t="s">
        <v>624</v>
      </c>
      <c r="F115" s="13" t="s">
        <v>626</v>
      </c>
      <c r="G115" s="12" t="s">
        <v>23</v>
      </c>
      <c r="H115" s="15"/>
      <c r="I115" s="15"/>
      <c r="J115" s="15">
        <f t="shared" si="2"/>
        <v>0</v>
      </c>
    </row>
    <row r="116" ht="28.8" spans="1:10">
      <c r="A116" s="12" t="e">
        <f t="shared" si="3"/>
        <v>#REF!</v>
      </c>
      <c r="B116" s="12"/>
      <c r="C116" s="13" t="s">
        <v>844</v>
      </c>
      <c r="D116" s="14" t="s">
        <v>20</v>
      </c>
      <c r="E116" s="14" t="s">
        <v>624</v>
      </c>
      <c r="F116" s="13" t="s">
        <v>627</v>
      </c>
      <c r="G116" s="12" t="s">
        <v>23</v>
      </c>
      <c r="H116" s="15"/>
      <c r="I116" s="15"/>
      <c r="J116" s="15">
        <f t="shared" si="2"/>
        <v>0</v>
      </c>
    </row>
    <row r="117" ht="28.8" spans="1:10">
      <c r="A117" s="12" t="e">
        <f t="shared" si="3"/>
        <v>#REF!</v>
      </c>
      <c r="B117" s="12"/>
      <c r="C117" s="13" t="s">
        <v>844</v>
      </c>
      <c r="D117" s="14" t="s">
        <v>20</v>
      </c>
      <c r="E117" s="14" t="s">
        <v>624</v>
      </c>
      <c r="F117" s="13" t="s">
        <v>628</v>
      </c>
      <c r="G117" s="12" t="s">
        <v>23</v>
      </c>
      <c r="H117" s="15"/>
      <c r="I117" s="15"/>
      <c r="J117" s="15">
        <f t="shared" si="2"/>
        <v>0</v>
      </c>
    </row>
    <row r="118" ht="28.8" spans="1:10">
      <c r="A118" s="12" t="e">
        <f t="shared" si="3"/>
        <v>#REF!</v>
      </c>
      <c r="B118" s="12"/>
      <c r="C118" s="13" t="s">
        <v>844</v>
      </c>
      <c r="D118" s="14" t="s">
        <v>11</v>
      </c>
      <c r="E118" s="14" t="s">
        <v>630</v>
      </c>
      <c r="F118" s="13" t="s">
        <v>631</v>
      </c>
      <c r="G118" s="12" t="s">
        <v>17</v>
      </c>
      <c r="H118" s="15"/>
      <c r="I118" s="15"/>
      <c r="J118" s="15">
        <f t="shared" si="2"/>
        <v>0</v>
      </c>
    </row>
    <row r="119" ht="28.8" spans="1:10">
      <c r="A119" s="12" t="e">
        <f t="shared" si="3"/>
        <v>#REF!</v>
      </c>
      <c r="B119" s="12"/>
      <c r="C119" s="13" t="s">
        <v>846</v>
      </c>
      <c r="D119" s="14" t="s">
        <v>20</v>
      </c>
      <c r="E119" s="14" t="s">
        <v>47</v>
      </c>
      <c r="F119" s="13" t="s">
        <v>48</v>
      </c>
      <c r="G119" s="12" t="s">
        <v>49</v>
      </c>
      <c r="H119" s="15"/>
      <c r="I119" s="15"/>
      <c r="J119" s="15">
        <f t="shared" si="2"/>
        <v>0</v>
      </c>
    </row>
    <row r="120" ht="28.8" spans="1:10">
      <c r="A120" s="12" t="e">
        <f t="shared" si="3"/>
        <v>#REF!</v>
      </c>
      <c r="B120" s="12"/>
      <c r="C120" s="13" t="s">
        <v>846</v>
      </c>
      <c r="D120" s="14" t="s">
        <v>20</v>
      </c>
      <c r="E120" s="14" t="s">
        <v>624</v>
      </c>
      <c r="F120" s="13" t="s">
        <v>625</v>
      </c>
      <c r="G120" s="12" t="s">
        <v>23</v>
      </c>
      <c r="H120" s="15"/>
      <c r="I120" s="15"/>
      <c r="J120" s="15">
        <f t="shared" si="2"/>
        <v>0</v>
      </c>
    </row>
    <row r="121" ht="28.8" spans="1:10">
      <c r="A121" s="12" t="e">
        <f t="shared" si="3"/>
        <v>#REF!</v>
      </c>
      <c r="B121" s="12"/>
      <c r="C121" s="13" t="s">
        <v>846</v>
      </c>
      <c r="D121" s="14" t="s">
        <v>20</v>
      </c>
      <c r="E121" s="14" t="s">
        <v>624</v>
      </c>
      <c r="F121" s="13" t="s">
        <v>626</v>
      </c>
      <c r="G121" s="12" t="s">
        <v>23</v>
      </c>
      <c r="H121" s="15"/>
      <c r="I121" s="15"/>
      <c r="J121" s="15">
        <f t="shared" si="2"/>
        <v>0</v>
      </c>
    </row>
    <row r="122" ht="28.8" spans="1:10">
      <c r="A122" s="12" t="e">
        <f t="shared" si="3"/>
        <v>#REF!</v>
      </c>
      <c r="B122" s="12"/>
      <c r="C122" s="13" t="s">
        <v>846</v>
      </c>
      <c r="D122" s="14" t="s">
        <v>20</v>
      </c>
      <c r="E122" s="14" t="s">
        <v>624</v>
      </c>
      <c r="F122" s="13" t="s">
        <v>627</v>
      </c>
      <c r="G122" s="12" t="s">
        <v>23</v>
      </c>
      <c r="H122" s="15"/>
      <c r="I122" s="15"/>
      <c r="J122" s="15">
        <f t="shared" si="2"/>
        <v>0</v>
      </c>
    </row>
    <row r="123" ht="28.8" spans="1:10">
      <c r="A123" s="12" t="e">
        <f t="shared" si="3"/>
        <v>#REF!</v>
      </c>
      <c r="B123" s="12"/>
      <c r="C123" s="13" t="s">
        <v>846</v>
      </c>
      <c r="D123" s="14" t="s">
        <v>20</v>
      </c>
      <c r="E123" s="14" t="s">
        <v>624</v>
      </c>
      <c r="F123" s="13" t="s">
        <v>628</v>
      </c>
      <c r="G123" s="12" t="s">
        <v>23</v>
      </c>
      <c r="H123" s="15"/>
      <c r="I123" s="15"/>
      <c r="J123" s="15">
        <f t="shared" si="2"/>
        <v>0</v>
      </c>
    </row>
    <row r="124" ht="28.8" spans="1:10">
      <c r="A124" s="12" t="e">
        <f t="shared" si="3"/>
        <v>#REF!</v>
      </c>
      <c r="B124" s="12"/>
      <c r="C124" s="13" t="s">
        <v>846</v>
      </c>
      <c r="D124" s="14" t="s">
        <v>11</v>
      </c>
      <c r="E124" s="14" t="s">
        <v>630</v>
      </c>
      <c r="F124" s="13" t="s">
        <v>631</v>
      </c>
      <c r="G124" s="12" t="s">
        <v>17</v>
      </c>
      <c r="H124" s="15"/>
      <c r="I124" s="15"/>
      <c r="J124" s="15">
        <f t="shared" si="2"/>
        <v>0</v>
      </c>
    </row>
    <row r="125" ht="28.8" spans="1:10">
      <c r="A125" s="12" t="e">
        <f t="shared" si="3"/>
        <v>#REF!</v>
      </c>
      <c r="B125" s="12"/>
      <c r="C125" s="13" t="s">
        <v>848</v>
      </c>
      <c r="D125" s="14" t="s">
        <v>20</v>
      </c>
      <c r="E125" s="14" t="s">
        <v>47</v>
      </c>
      <c r="F125" s="13" t="s">
        <v>48</v>
      </c>
      <c r="G125" s="12" t="s">
        <v>49</v>
      </c>
      <c r="H125" s="15"/>
      <c r="I125" s="15"/>
      <c r="J125" s="15">
        <f t="shared" si="2"/>
        <v>0</v>
      </c>
    </row>
    <row r="126" ht="28.8" spans="1:10">
      <c r="A126" s="12" t="e">
        <f t="shared" si="3"/>
        <v>#REF!</v>
      </c>
      <c r="B126" s="12"/>
      <c r="C126" s="13" t="s">
        <v>848</v>
      </c>
      <c r="D126" s="14" t="s">
        <v>20</v>
      </c>
      <c r="E126" s="14" t="s">
        <v>624</v>
      </c>
      <c r="F126" s="13" t="s">
        <v>625</v>
      </c>
      <c r="G126" s="12" t="s">
        <v>23</v>
      </c>
      <c r="H126" s="15"/>
      <c r="I126" s="15"/>
      <c r="J126" s="15">
        <f t="shared" si="2"/>
        <v>0</v>
      </c>
    </row>
    <row r="127" ht="28.8" spans="1:10">
      <c r="A127" s="12" t="e">
        <f t="shared" si="3"/>
        <v>#REF!</v>
      </c>
      <c r="B127" s="12"/>
      <c r="C127" s="13" t="s">
        <v>848</v>
      </c>
      <c r="D127" s="14" t="s">
        <v>20</v>
      </c>
      <c r="E127" s="14" t="s">
        <v>624</v>
      </c>
      <c r="F127" s="13" t="s">
        <v>626</v>
      </c>
      <c r="G127" s="12" t="s">
        <v>23</v>
      </c>
      <c r="H127" s="15"/>
      <c r="I127" s="15"/>
      <c r="J127" s="15">
        <f t="shared" si="2"/>
        <v>0</v>
      </c>
    </row>
    <row r="128" ht="28.8" spans="1:10">
      <c r="A128" s="12" t="e">
        <f t="shared" si="3"/>
        <v>#REF!</v>
      </c>
      <c r="B128" s="12"/>
      <c r="C128" s="13" t="s">
        <v>848</v>
      </c>
      <c r="D128" s="14" t="s">
        <v>20</v>
      </c>
      <c r="E128" s="14" t="s">
        <v>624</v>
      </c>
      <c r="F128" s="13" t="s">
        <v>627</v>
      </c>
      <c r="G128" s="12" t="s">
        <v>23</v>
      </c>
      <c r="H128" s="15"/>
      <c r="I128" s="15"/>
      <c r="J128" s="15">
        <f t="shared" si="2"/>
        <v>0</v>
      </c>
    </row>
    <row r="129" ht="28.8" spans="1:10">
      <c r="A129" s="12" t="e">
        <f t="shared" si="3"/>
        <v>#REF!</v>
      </c>
      <c r="B129" s="12"/>
      <c r="C129" s="13" t="s">
        <v>848</v>
      </c>
      <c r="D129" s="14" t="s">
        <v>20</v>
      </c>
      <c r="E129" s="14" t="s">
        <v>624</v>
      </c>
      <c r="F129" s="13" t="s">
        <v>628</v>
      </c>
      <c r="G129" s="12" t="s">
        <v>23</v>
      </c>
      <c r="H129" s="15"/>
      <c r="I129" s="15"/>
      <c r="J129" s="15">
        <f t="shared" si="2"/>
        <v>0</v>
      </c>
    </row>
    <row r="130" ht="28.8" spans="1:10">
      <c r="A130" s="12" t="e">
        <f t="shared" si="3"/>
        <v>#REF!</v>
      </c>
      <c r="B130" s="12"/>
      <c r="C130" s="13" t="s">
        <v>848</v>
      </c>
      <c r="D130" s="14" t="s">
        <v>11</v>
      </c>
      <c r="E130" s="14" t="s">
        <v>630</v>
      </c>
      <c r="F130" s="13" t="s">
        <v>631</v>
      </c>
      <c r="G130" s="12" t="s">
        <v>17</v>
      </c>
      <c r="H130" s="15"/>
      <c r="I130" s="15"/>
      <c r="J130" s="15">
        <f t="shared" si="2"/>
        <v>0</v>
      </c>
    </row>
    <row r="131" ht="28.8" spans="1:10">
      <c r="A131" s="12" t="e">
        <f t="shared" si="3"/>
        <v>#REF!</v>
      </c>
      <c r="B131" s="12"/>
      <c r="C131" s="13" t="s">
        <v>850</v>
      </c>
      <c r="D131" s="14" t="s">
        <v>20</v>
      </c>
      <c r="E131" s="14" t="s">
        <v>47</v>
      </c>
      <c r="F131" s="13" t="s">
        <v>48</v>
      </c>
      <c r="G131" s="12" t="s">
        <v>49</v>
      </c>
      <c r="H131" s="15"/>
      <c r="I131" s="15"/>
      <c r="J131" s="15">
        <f t="shared" si="2"/>
        <v>0</v>
      </c>
    </row>
    <row r="132" ht="28.8" spans="1:10">
      <c r="A132" s="12" t="e">
        <f t="shared" si="3"/>
        <v>#REF!</v>
      </c>
      <c r="B132" s="12"/>
      <c r="C132" s="13" t="s">
        <v>850</v>
      </c>
      <c r="D132" s="14" t="s">
        <v>20</v>
      </c>
      <c r="E132" s="14" t="s">
        <v>624</v>
      </c>
      <c r="F132" s="13" t="s">
        <v>625</v>
      </c>
      <c r="G132" s="12" t="s">
        <v>23</v>
      </c>
      <c r="H132" s="15"/>
      <c r="I132" s="15"/>
      <c r="J132" s="15">
        <f t="shared" ref="J132:J195" si="4">+ROUND(PRODUCT(H132*I132),0)</f>
        <v>0</v>
      </c>
    </row>
    <row r="133" ht="28.8" spans="1:10">
      <c r="A133" s="12" t="e">
        <f t="shared" ref="A133:A196" si="5">1+A132</f>
        <v>#REF!</v>
      </c>
      <c r="B133" s="12"/>
      <c r="C133" s="13" t="s">
        <v>850</v>
      </c>
      <c r="D133" s="14" t="s">
        <v>20</v>
      </c>
      <c r="E133" s="14" t="s">
        <v>624</v>
      </c>
      <c r="F133" s="13" t="s">
        <v>626</v>
      </c>
      <c r="G133" s="12" t="s">
        <v>23</v>
      </c>
      <c r="H133" s="15"/>
      <c r="I133" s="15"/>
      <c r="J133" s="15">
        <f t="shared" si="4"/>
        <v>0</v>
      </c>
    </row>
    <row r="134" ht="28.8" spans="1:10">
      <c r="A134" s="12" t="e">
        <f t="shared" si="5"/>
        <v>#REF!</v>
      </c>
      <c r="B134" s="12"/>
      <c r="C134" s="13" t="s">
        <v>850</v>
      </c>
      <c r="D134" s="14" t="s">
        <v>20</v>
      </c>
      <c r="E134" s="14" t="s">
        <v>624</v>
      </c>
      <c r="F134" s="13" t="s">
        <v>627</v>
      </c>
      <c r="G134" s="12" t="s">
        <v>23</v>
      </c>
      <c r="H134" s="15"/>
      <c r="I134" s="15"/>
      <c r="J134" s="15">
        <f t="shared" si="4"/>
        <v>0</v>
      </c>
    </row>
    <row r="135" ht="28.8" spans="1:10">
      <c r="A135" s="12" t="e">
        <f t="shared" si="5"/>
        <v>#REF!</v>
      </c>
      <c r="B135" s="12"/>
      <c r="C135" s="13" t="s">
        <v>850</v>
      </c>
      <c r="D135" s="14" t="s">
        <v>20</v>
      </c>
      <c r="E135" s="14" t="s">
        <v>624</v>
      </c>
      <c r="F135" s="13" t="s">
        <v>628</v>
      </c>
      <c r="G135" s="12" t="s">
        <v>23</v>
      </c>
      <c r="H135" s="15"/>
      <c r="I135" s="15"/>
      <c r="J135" s="15">
        <f t="shared" si="4"/>
        <v>0</v>
      </c>
    </row>
    <row r="136" ht="28.8" spans="1:10">
      <c r="A136" s="12" t="e">
        <f t="shared" si="5"/>
        <v>#REF!</v>
      </c>
      <c r="B136" s="12"/>
      <c r="C136" s="13" t="s">
        <v>850</v>
      </c>
      <c r="D136" s="14" t="s">
        <v>11</v>
      </c>
      <c r="E136" s="14" t="s">
        <v>630</v>
      </c>
      <c r="F136" s="13" t="s">
        <v>631</v>
      </c>
      <c r="G136" s="12" t="s">
        <v>17</v>
      </c>
      <c r="H136" s="15"/>
      <c r="I136" s="15"/>
      <c r="J136" s="15">
        <f t="shared" si="4"/>
        <v>0</v>
      </c>
    </row>
    <row r="137" ht="28.8" spans="1:10">
      <c r="A137" s="12" t="e">
        <f t="shared" si="5"/>
        <v>#REF!</v>
      </c>
      <c r="B137" s="12"/>
      <c r="C137" s="13" t="s">
        <v>852</v>
      </c>
      <c r="D137" s="14" t="s">
        <v>20</v>
      </c>
      <c r="E137" s="14" t="s">
        <v>47</v>
      </c>
      <c r="F137" s="13" t="s">
        <v>48</v>
      </c>
      <c r="G137" s="12" t="s">
        <v>49</v>
      </c>
      <c r="H137" s="15"/>
      <c r="I137" s="15"/>
      <c r="J137" s="15">
        <f t="shared" si="4"/>
        <v>0</v>
      </c>
    </row>
    <row r="138" ht="28.8" spans="1:10">
      <c r="A138" s="12" t="e">
        <f t="shared" si="5"/>
        <v>#REF!</v>
      </c>
      <c r="B138" s="12"/>
      <c r="C138" s="13" t="s">
        <v>852</v>
      </c>
      <c r="D138" s="14" t="s">
        <v>20</v>
      </c>
      <c r="E138" s="14" t="s">
        <v>624</v>
      </c>
      <c r="F138" s="13" t="s">
        <v>625</v>
      </c>
      <c r="G138" s="12" t="s">
        <v>23</v>
      </c>
      <c r="H138" s="15"/>
      <c r="I138" s="15"/>
      <c r="J138" s="15">
        <f t="shared" si="4"/>
        <v>0</v>
      </c>
    </row>
    <row r="139" ht="28.8" spans="1:10">
      <c r="A139" s="12" t="e">
        <f t="shared" si="5"/>
        <v>#REF!</v>
      </c>
      <c r="B139" s="12"/>
      <c r="C139" s="13" t="s">
        <v>852</v>
      </c>
      <c r="D139" s="14" t="s">
        <v>20</v>
      </c>
      <c r="E139" s="14" t="s">
        <v>624</v>
      </c>
      <c r="F139" s="13" t="s">
        <v>626</v>
      </c>
      <c r="G139" s="12" t="s">
        <v>23</v>
      </c>
      <c r="H139" s="15"/>
      <c r="I139" s="15"/>
      <c r="J139" s="15">
        <f t="shared" si="4"/>
        <v>0</v>
      </c>
    </row>
    <row r="140" ht="28.8" spans="1:10">
      <c r="A140" s="12" t="e">
        <f t="shared" si="5"/>
        <v>#REF!</v>
      </c>
      <c r="B140" s="12"/>
      <c r="C140" s="13" t="s">
        <v>852</v>
      </c>
      <c r="D140" s="14" t="s">
        <v>20</v>
      </c>
      <c r="E140" s="14" t="s">
        <v>624</v>
      </c>
      <c r="F140" s="13" t="s">
        <v>627</v>
      </c>
      <c r="G140" s="12" t="s">
        <v>23</v>
      </c>
      <c r="H140" s="15"/>
      <c r="I140" s="15"/>
      <c r="J140" s="15">
        <f t="shared" si="4"/>
        <v>0</v>
      </c>
    </row>
    <row r="141" ht="28.8" spans="1:10">
      <c r="A141" s="12" t="e">
        <f t="shared" si="5"/>
        <v>#REF!</v>
      </c>
      <c r="B141" s="12"/>
      <c r="C141" s="13" t="s">
        <v>852</v>
      </c>
      <c r="D141" s="14" t="s">
        <v>20</v>
      </c>
      <c r="E141" s="14" t="s">
        <v>624</v>
      </c>
      <c r="F141" s="13" t="s">
        <v>628</v>
      </c>
      <c r="G141" s="12" t="s">
        <v>23</v>
      </c>
      <c r="H141" s="15"/>
      <c r="I141" s="15"/>
      <c r="J141" s="15">
        <f t="shared" si="4"/>
        <v>0</v>
      </c>
    </row>
    <row r="142" ht="28.8" spans="1:10">
      <c r="A142" s="12" t="e">
        <f t="shared" si="5"/>
        <v>#REF!</v>
      </c>
      <c r="B142" s="12"/>
      <c r="C142" s="13" t="s">
        <v>852</v>
      </c>
      <c r="D142" s="14" t="s">
        <v>11</v>
      </c>
      <c r="E142" s="14" t="s">
        <v>630</v>
      </c>
      <c r="F142" s="13" t="s">
        <v>631</v>
      </c>
      <c r="G142" s="12" t="s">
        <v>17</v>
      </c>
      <c r="H142" s="15"/>
      <c r="I142" s="15"/>
      <c r="J142" s="15">
        <f t="shared" si="4"/>
        <v>0</v>
      </c>
    </row>
    <row r="143" ht="28.8" spans="1:10">
      <c r="A143" s="12" t="e">
        <f t="shared" si="5"/>
        <v>#REF!</v>
      </c>
      <c r="B143" s="12"/>
      <c r="C143" s="13" t="s">
        <v>854</v>
      </c>
      <c r="D143" s="14" t="s">
        <v>20</v>
      </c>
      <c r="E143" s="14" t="s">
        <v>47</v>
      </c>
      <c r="F143" s="13" t="s">
        <v>48</v>
      </c>
      <c r="G143" s="12" t="s">
        <v>49</v>
      </c>
      <c r="H143" s="15"/>
      <c r="I143" s="15"/>
      <c r="J143" s="15">
        <f t="shared" si="4"/>
        <v>0</v>
      </c>
    </row>
    <row r="144" ht="28.8" spans="1:10">
      <c r="A144" s="12" t="e">
        <f t="shared" si="5"/>
        <v>#REF!</v>
      </c>
      <c r="B144" s="12"/>
      <c r="C144" s="13" t="s">
        <v>854</v>
      </c>
      <c r="D144" s="14" t="s">
        <v>20</v>
      </c>
      <c r="E144" s="14" t="s">
        <v>624</v>
      </c>
      <c r="F144" s="13" t="s">
        <v>625</v>
      </c>
      <c r="G144" s="12" t="s">
        <v>23</v>
      </c>
      <c r="H144" s="15"/>
      <c r="I144" s="15"/>
      <c r="J144" s="15">
        <f t="shared" si="4"/>
        <v>0</v>
      </c>
    </row>
    <row r="145" ht="28.8" spans="1:10">
      <c r="A145" s="12" t="e">
        <f t="shared" si="5"/>
        <v>#REF!</v>
      </c>
      <c r="B145" s="12"/>
      <c r="C145" s="13" t="s">
        <v>854</v>
      </c>
      <c r="D145" s="14" t="s">
        <v>20</v>
      </c>
      <c r="E145" s="14" t="s">
        <v>624</v>
      </c>
      <c r="F145" s="13" t="s">
        <v>626</v>
      </c>
      <c r="G145" s="12" t="s">
        <v>23</v>
      </c>
      <c r="H145" s="15"/>
      <c r="I145" s="15"/>
      <c r="J145" s="15">
        <f t="shared" si="4"/>
        <v>0</v>
      </c>
    </row>
    <row r="146" ht="28.8" spans="1:10">
      <c r="A146" s="12" t="e">
        <f t="shared" si="5"/>
        <v>#REF!</v>
      </c>
      <c r="B146" s="12"/>
      <c r="C146" s="13" t="s">
        <v>854</v>
      </c>
      <c r="D146" s="14" t="s">
        <v>20</v>
      </c>
      <c r="E146" s="14" t="s">
        <v>624</v>
      </c>
      <c r="F146" s="13" t="s">
        <v>627</v>
      </c>
      <c r="G146" s="12" t="s">
        <v>23</v>
      </c>
      <c r="H146" s="15"/>
      <c r="I146" s="15"/>
      <c r="J146" s="15">
        <f t="shared" si="4"/>
        <v>0</v>
      </c>
    </row>
    <row r="147" ht="28.8" spans="1:10">
      <c r="A147" s="12" t="e">
        <f t="shared" si="5"/>
        <v>#REF!</v>
      </c>
      <c r="B147" s="12"/>
      <c r="C147" s="13" t="s">
        <v>854</v>
      </c>
      <c r="D147" s="14" t="s">
        <v>20</v>
      </c>
      <c r="E147" s="14" t="s">
        <v>624</v>
      </c>
      <c r="F147" s="13" t="s">
        <v>628</v>
      </c>
      <c r="G147" s="12" t="s">
        <v>23</v>
      </c>
      <c r="H147" s="15"/>
      <c r="I147" s="15"/>
      <c r="J147" s="15">
        <f t="shared" si="4"/>
        <v>0</v>
      </c>
    </row>
    <row r="148" ht="28.8" spans="1:10">
      <c r="A148" s="12" t="e">
        <f t="shared" si="5"/>
        <v>#REF!</v>
      </c>
      <c r="B148" s="12"/>
      <c r="C148" s="13" t="s">
        <v>854</v>
      </c>
      <c r="D148" s="14" t="s">
        <v>11</v>
      </c>
      <c r="E148" s="14" t="s">
        <v>630</v>
      </c>
      <c r="F148" s="13" t="s">
        <v>631</v>
      </c>
      <c r="G148" s="12" t="s">
        <v>17</v>
      </c>
      <c r="H148" s="15"/>
      <c r="I148" s="15"/>
      <c r="J148" s="15">
        <f t="shared" si="4"/>
        <v>0</v>
      </c>
    </row>
    <row r="149" ht="28.8" spans="1:10">
      <c r="A149" s="12" t="e">
        <f t="shared" si="5"/>
        <v>#REF!</v>
      </c>
      <c r="B149" s="12"/>
      <c r="C149" s="13" t="s">
        <v>856</v>
      </c>
      <c r="D149" s="14" t="s">
        <v>20</v>
      </c>
      <c r="E149" s="14" t="s">
        <v>47</v>
      </c>
      <c r="F149" s="13" t="s">
        <v>48</v>
      </c>
      <c r="G149" s="12" t="s">
        <v>49</v>
      </c>
      <c r="H149" s="15"/>
      <c r="I149" s="15"/>
      <c r="J149" s="15">
        <f t="shared" si="4"/>
        <v>0</v>
      </c>
    </row>
    <row r="150" ht="28.8" spans="1:10">
      <c r="A150" s="12" t="e">
        <f t="shared" si="5"/>
        <v>#REF!</v>
      </c>
      <c r="B150" s="12"/>
      <c r="C150" s="13" t="s">
        <v>856</v>
      </c>
      <c r="D150" s="14" t="s">
        <v>20</v>
      </c>
      <c r="E150" s="14" t="s">
        <v>624</v>
      </c>
      <c r="F150" s="13" t="s">
        <v>625</v>
      </c>
      <c r="G150" s="12" t="s">
        <v>23</v>
      </c>
      <c r="H150" s="15"/>
      <c r="I150" s="15"/>
      <c r="J150" s="15">
        <f t="shared" si="4"/>
        <v>0</v>
      </c>
    </row>
    <row r="151" ht="28.8" spans="1:10">
      <c r="A151" s="12" t="e">
        <f t="shared" si="5"/>
        <v>#REF!</v>
      </c>
      <c r="B151" s="12"/>
      <c r="C151" s="13" t="s">
        <v>856</v>
      </c>
      <c r="D151" s="14" t="s">
        <v>20</v>
      </c>
      <c r="E151" s="14" t="s">
        <v>624</v>
      </c>
      <c r="F151" s="13" t="s">
        <v>626</v>
      </c>
      <c r="G151" s="12" t="s">
        <v>23</v>
      </c>
      <c r="H151" s="15"/>
      <c r="I151" s="15"/>
      <c r="J151" s="15">
        <f t="shared" si="4"/>
        <v>0</v>
      </c>
    </row>
    <row r="152" ht="28.8" spans="1:10">
      <c r="A152" s="12" t="e">
        <f t="shared" si="5"/>
        <v>#REF!</v>
      </c>
      <c r="B152" s="12"/>
      <c r="C152" s="13" t="s">
        <v>856</v>
      </c>
      <c r="D152" s="14" t="s">
        <v>20</v>
      </c>
      <c r="E152" s="14" t="s">
        <v>624</v>
      </c>
      <c r="F152" s="13" t="s">
        <v>627</v>
      </c>
      <c r="G152" s="12" t="s">
        <v>23</v>
      </c>
      <c r="H152" s="15"/>
      <c r="I152" s="15"/>
      <c r="J152" s="15">
        <f t="shared" si="4"/>
        <v>0</v>
      </c>
    </row>
    <row r="153" ht="28.8" spans="1:10">
      <c r="A153" s="12" t="e">
        <f t="shared" si="5"/>
        <v>#REF!</v>
      </c>
      <c r="B153" s="12"/>
      <c r="C153" s="13" t="s">
        <v>856</v>
      </c>
      <c r="D153" s="14" t="s">
        <v>20</v>
      </c>
      <c r="E153" s="14" t="s">
        <v>624</v>
      </c>
      <c r="F153" s="13" t="s">
        <v>628</v>
      </c>
      <c r="G153" s="12" t="s">
        <v>23</v>
      </c>
      <c r="H153" s="15"/>
      <c r="I153" s="15"/>
      <c r="J153" s="15">
        <f t="shared" si="4"/>
        <v>0</v>
      </c>
    </row>
    <row r="154" ht="28.8" spans="1:10">
      <c r="A154" s="12" t="e">
        <f t="shared" si="5"/>
        <v>#REF!</v>
      </c>
      <c r="B154" s="12"/>
      <c r="C154" s="13" t="s">
        <v>856</v>
      </c>
      <c r="D154" s="14" t="s">
        <v>11</v>
      </c>
      <c r="E154" s="14" t="s">
        <v>630</v>
      </c>
      <c r="F154" s="13" t="s">
        <v>631</v>
      </c>
      <c r="G154" s="12" t="s">
        <v>17</v>
      </c>
      <c r="H154" s="15"/>
      <c r="I154" s="15"/>
      <c r="J154" s="15">
        <f t="shared" si="4"/>
        <v>0</v>
      </c>
    </row>
    <row r="155" ht="28.8" spans="1:10">
      <c r="A155" s="12" t="e">
        <f t="shared" si="5"/>
        <v>#REF!</v>
      </c>
      <c r="B155" s="12"/>
      <c r="C155" s="13" t="s">
        <v>858</v>
      </c>
      <c r="D155" s="14" t="s">
        <v>20</v>
      </c>
      <c r="E155" s="14" t="s">
        <v>47</v>
      </c>
      <c r="F155" s="13" t="s">
        <v>48</v>
      </c>
      <c r="G155" s="12" t="s">
        <v>49</v>
      </c>
      <c r="H155" s="15"/>
      <c r="I155" s="15"/>
      <c r="J155" s="15">
        <f t="shared" si="4"/>
        <v>0</v>
      </c>
    </row>
    <row r="156" ht="28.8" spans="1:10">
      <c r="A156" s="12" t="e">
        <f t="shared" si="5"/>
        <v>#REF!</v>
      </c>
      <c r="B156" s="12"/>
      <c r="C156" s="13" t="s">
        <v>858</v>
      </c>
      <c r="D156" s="14" t="s">
        <v>20</v>
      </c>
      <c r="E156" s="14" t="s">
        <v>624</v>
      </c>
      <c r="F156" s="13" t="s">
        <v>625</v>
      </c>
      <c r="G156" s="12" t="s">
        <v>23</v>
      </c>
      <c r="H156" s="15"/>
      <c r="I156" s="15"/>
      <c r="J156" s="15">
        <f t="shared" si="4"/>
        <v>0</v>
      </c>
    </row>
    <row r="157" ht="28.8" spans="1:10">
      <c r="A157" s="12" t="e">
        <f t="shared" si="5"/>
        <v>#REF!</v>
      </c>
      <c r="B157" s="12"/>
      <c r="C157" s="13" t="s">
        <v>858</v>
      </c>
      <c r="D157" s="14" t="s">
        <v>20</v>
      </c>
      <c r="E157" s="14" t="s">
        <v>624</v>
      </c>
      <c r="F157" s="13" t="s">
        <v>626</v>
      </c>
      <c r="G157" s="12" t="s">
        <v>23</v>
      </c>
      <c r="H157" s="15"/>
      <c r="I157" s="15"/>
      <c r="J157" s="15">
        <f t="shared" si="4"/>
        <v>0</v>
      </c>
    </row>
    <row r="158" ht="28.8" spans="1:10">
      <c r="A158" s="12" t="e">
        <f t="shared" si="5"/>
        <v>#REF!</v>
      </c>
      <c r="B158" s="12"/>
      <c r="C158" s="13" t="s">
        <v>858</v>
      </c>
      <c r="D158" s="14" t="s">
        <v>20</v>
      </c>
      <c r="E158" s="14" t="s">
        <v>624</v>
      </c>
      <c r="F158" s="13" t="s">
        <v>627</v>
      </c>
      <c r="G158" s="12" t="s">
        <v>23</v>
      </c>
      <c r="H158" s="15"/>
      <c r="I158" s="15"/>
      <c r="J158" s="15">
        <f t="shared" si="4"/>
        <v>0</v>
      </c>
    </row>
    <row r="159" ht="28.8" spans="1:10">
      <c r="A159" s="12" t="e">
        <f t="shared" si="5"/>
        <v>#REF!</v>
      </c>
      <c r="B159" s="12"/>
      <c r="C159" s="13" t="s">
        <v>858</v>
      </c>
      <c r="D159" s="14" t="s">
        <v>20</v>
      </c>
      <c r="E159" s="14" t="s">
        <v>624</v>
      </c>
      <c r="F159" s="13" t="s">
        <v>628</v>
      </c>
      <c r="G159" s="12" t="s">
        <v>23</v>
      </c>
      <c r="H159" s="15"/>
      <c r="I159" s="15"/>
      <c r="J159" s="15">
        <f t="shared" si="4"/>
        <v>0</v>
      </c>
    </row>
    <row r="160" ht="28.8" spans="1:10">
      <c r="A160" s="12" t="e">
        <f t="shared" si="5"/>
        <v>#REF!</v>
      </c>
      <c r="B160" s="12"/>
      <c r="C160" s="13" t="s">
        <v>858</v>
      </c>
      <c r="D160" s="14" t="s">
        <v>11</v>
      </c>
      <c r="E160" s="14" t="s">
        <v>630</v>
      </c>
      <c r="F160" s="13" t="s">
        <v>631</v>
      </c>
      <c r="G160" s="12" t="s">
        <v>17</v>
      </c>
      <c r="H160" s="15"/>
      <c r="I160" s="15"/>
      <c r="J160" s="15">
        <f t="shared" si="4"/>
        <v>0</v>
      </c>
    </row>
    <row r="161" ht="28.8" spans="1:10">
      <c r="A161" s="12" t="e">
        <f t="shared" si="5"/>
        <v>#REF!</v>
      </c>
      <c r="B161" s="12"/>
      <c r="C161" s="13" t="s">
        <v>860</v>
      </c>
      <c r="D161" s="14" t="s">
        <v>11</v>
      </c>
      <c r="E161" s="14" t="s">
        <v>634</v>
      </c>
      <c r="F161" s="13" t="s">
        <v>635</v>
      </c>
      <c r="G161" s="12" t="s">
        <v>23</v>
      </c>
      <c r="H161" s="15"/>
      <c r="I161" s="15"/>
      <c r="J161" s="15">
        <f t="shared" si="4"/>
        <v>0</v>
      </c>
    </row>
    <row r="162" ht="28.8" spans="1:10">
      <c r="A162" s="12" t="e">
        <f t="shared" si="5"/>
        <v>#REF!</v>
      </c>
      <c r="B162" s="12"/>
      <c r="C162" s="13" t="s">
        <v>860</v>
      </c>
      <c r="D162" s="14" t="s">
        <v>20</v>
      </c>
      <c r="E162" s="14" t="s">
        <v>636</v>
      </c>
      <c r="F162" s="13" t="s">
        <v>637</v>
      </c>
      <c r="G162" s="12" t="s">
        <v>23</v>
      </c>
      <c r="H162" s="15"/>
      <c r="I162" s="15"/>
      <c r="J162" s="15">
        <f t="shared" si="4"/>
        <v>0</v>
      </c>
    </row>
    <row r="163" ht="28.8" spans="1:10">
      <c r="A163" s="12" t="e">
        <f t="shared" si="5"/>
        <v>#REF!</v>
      </c>
      <c r="B163" s="12"/>
      <c r="C163" s="13" t="s">
        <v>862</v>
      </c>
      <c r="D163" s="14" t="s">
        <v>11</v>
      </c>
      <c r="E163" s="14" t="s">
        <v>634</v>
      </c>
      <c r="F163" s="13" t="s">
        <v>640</v>
      </c>
      <c r="G163" s="12" t="s">
        <v>23</v>
      </c>
      <c r="H163" s="15"/>
      <c r="I163" s="15"/>
      <c r="J163" s="15">
        <f t="shared" si="4"/>
        <v>0</v>
      </c>
    </row>
    <row r="164" ht="28.8" spans="1:10">
      <c r="A164" s="12" t="e">
        <f t="shared" si="5"/>
        <v>#REF!</v>
      </c>
      <c r="B164" s="12"/>
      <c r="C164" s="13" t="s">
        <v>862</v>
      </c>
      <c r="D164" s="14" t="s">
        <v>20</v>
      </c>
      <c r="E164" s="14" t="s">
        <v>636</v>
      </c>
      <c r="F164" s="13" t="s">
        <v>641</v>
      </c>
      <c r="G164" s="12" t="s">
        <v>23</v>
      </c>
      <c r="H164" s="15"/>
      <c r="I164" s="15"/>
      <c r="J164" s="15">
        <f t="shared" si="4"/>
        <v>0</v>
      </c>
    </row>
    <row r="165" ht="28.8" spans="1:10">
      <c r="A165" s="12" t="e">
        <f t="shared" si="5"/>
        <v>#REF!</v>
      </c>
      <c r="B165" s="12"/>
      <c r="C165" s="13" t="s">
        <v>864</v>
      </c>
      <c r="D165" s="14" t="s">
        <v>11</v>
      </c>
      <c r="E165" s="14" t="s">
        <v>634</v>
      </c>
      <c r="F165" s="13" t="s">
        <v>650</v>
      </c>
      <c r="G165" s="12" t="s">
        <v>23</v>
      </c>
      <c r="H165" s="15"/>
      <c r="I165" s="15"/>
      <c r="J165" s="15">
        <f t="shared" si="4"/>
        <v>0</v>
      </c>
    </row>
    <row r="166" ht="28.8" spans="1:10">
      <c r="A166" s="12" t="e">
        <f t="shared" si="5"/>
        <v>#REF!</v>
      </c>
      <c r="B166" s="12"/>
      <c r="C166" s="13" t="s">
        <v>864</v>
      </c>
      <c r="D166" s="14" t="s">
        <v>20</v>
      </c>
      <c r="E166" s="14" t="s">
        <v>636</v>
      </c>
      <c r="F166" s="13" t="s">
        <v>644</v>
      </c>
      <c r="G166" s="12" t="s">
        <v>23</v>
      </c>
      <c r="H166" s="15"/>
      <c r="I166" s="15"/>
      <c r="J166" s="15">
        <f t="shared" si="4"/>
        <v>0</v>
      </c>
    </row>
    <row r="167" ht="28.8" spans="1:10">
      <c r="A167" s="12" t="e">
        <f t="shared" si="5"/>
        <v>#REF!</v>
      </c>
      <c r="B167" s="12"/>
      <c r="C167" s="13" t="s">
        <v>866</v>
      </c>
      <c r="D167" s="14" t="s">
        <v>11</v>
      </c>
      <c r="E167" s="14" t="s">
        <v>634</v>
      </c>
      <c r="F167" s="13" t="s">
        <v>635</v>
      </c>
      <c r="G167" s="12" t="s">
        <v>23</v>
      </c>
      <c r="H167" s="15"/>
      <c r="I167" s="15"/>
      <c r="J167" s="15">
        <f t="shared" si="4"/>
        <v>0</v>
      </c>
    </row>
    <row r="168" ht="28.8" spans="1:10">
      <c r="A168" s="12" t="e">
        <f t="shared" si="5"/>
        <v>#REF!</v>
      </c>
      <c r="B168" s="12"/>
      <c r="C168" s="13" t="s">
        <v>866</v>
      </c>
      <c r="D168" s="14" t="s">
        <v>11</v>
      </c>
      <c r="E168" s="14" t="s">
        <v>634</v>
      </c>
      <c r="F168" s="13" t="s">
        <v>640</v>
      </c>
      <c r="G168" s="12" t="s">
        <v>23</v>
      </c>
      <c r="H168" s="15"/>
      <c r="I168" s="15"/>
      <c r="J168" s="15">
        <f t="shared" si="4"/>
        <v>0</v>
      </c>
    </row>
    <row r="169" ht="28.8" spans="1:10">
      <c r="A169" s="12" t="e">
        <f t="shared" si="5"/>
        <v>#REF!</v>
      </c>
      <c r="B169" s="12"/>
      <c r="C169" s="13" t="s">
        <v>866</v>
      </c>
      <c r="D169" s="14" t="s">
        <v>20</v>
      </c>
      <c r="E169" s="14" t="s">
        <v>636</v>
      </c>
      <c r="F169" s="13" t="s">
        <v>647</v>
      </c>
      <c r="G169" s="12" t="s">
        <v>23</v>
      </c>
      <c r="H169" s="15"/>
      <c r="I169" s="15"/>
      <c r="J169" s="15">
        <f t="shared" si="4"/>
        <v>0</v>
      </c>
    </row>
    <row r="170" ht="28.8" spans="1:10">
      <c r="A170" s="12" t="e">
        <f t="shared" si="5"/>
        <v>#REF!</v>
      </c>
      <c r="B170" s="12"/>
      <c r="C170" s="13" t="s">
        <v>868</v>
      </c>
      <c r="D170" s="14" t="s">
        <v>11</v>
      </c>
      <c r="E170" s="14" t="s">
        <v>634</v>
      </c>
      <c r="F170" s="13" t="s">
        <v>640</v>
      </c>
      <c r="G170" s="12" t="s">
        <v>23</v>
      </c>
      <c r="H170" s="15"/>
      <c r="I170" s="15"/>
      <c r="J170" s="15">
        <f t="shared" si="4"/>
        <v>0</v>
      </c>
    </row>
    <row r="171" ht="28.8" spans="1:10">
      <c r="A171" s="12" t="e">
        <f t="shared" si="5"/>
        <v>#REF!</v>
      </c>
      <c r="B171" s="12"/>
      <c r="C171" s="13" t="s">
        <v>868</v>
      </c>
      <c r="D171" s="14" t="s">
        <v>11</v>
      </c>
      <c r="E171" s="14" t="s">
        <v>634</v>
      </c>
      <c r="F171" s="13" t="s">
        <v>650</v>
      </c>
      <c r="G171" s="12" t="s">
        <v>23</v>
      </c>
      <c r="H171" s="15"/>
      <c r="I171" s="15"/>
      <c r="J171" s="15">
        <f t="shared" si="4"/>
        <v>0</v>
      </c>
    </row>
    <row r="172" ht="28.8" spans="1:10">
      <c r="A172" s="12" t="e">
        <f t="shared" si="5"/>
        <v>#REF!</v>
      </c>
      <c r="B172" s="12"/>
      <c r="C172" s="13" t="s">
        <v>868</v>
      </c>
      <c r="D172" s="14" t="s">
        <v>20</v>
      </c>
      <c r="E172" s="14" t="s">
        <v>636</v>
      </c>
      <c r="F172" s="13" t="s">
        <v>651</v>
      </c>
      <c r="G172" s="12" t="s">
        <v>23</v>
      </c>
      <c r="H172" s="15"/>
      <c r="I172" s="15"/>
      <c r="J172" s="15">
        <f t="shared" si="4"/>
        <v>0</v>
      </c>
    </row>
    <row r="173" ht="28.8" spans="1:10">
      <c r="A173" s="12" t="e">
        <f t="shared" si="5"/>
        <v>#REF!</v>
      </c>
      <c r="B173" s="12"/>
      <c r="C173" s="13" t="s">
        <v>870</v>
      </c>
      <c r="D173" s="14" t="s">
        <v>11</v>
      </c>
      <c r="E173" s="14" t="s">
        <v>634</v>
      </c>
      <c r="F173" s="13" t="s">
        <v>635</v>
      </c>
      <c r="G173" s="12" t="s">
        <v>23</v>
      </c>
      <c r="H173" s="15"/>
      <c r="I173" s="15"/>
      <c r="J173" s="15">
        <f t="shared" si="4"/>
        <v>0</v>
      </c>
    </row>
    <row r="174" ht="28.8" spans="1:10">
      <c r="A174" s="12" t="e">
        <f t="shared" si="5"/>
        <v>#REF!</v>
      </c>
      <c r="B174" s="12"/>
      <c r="C174" s="13" t="s">
        <v>870</v>
      </c>
      <c r="D174" s="14" t="s">
        <v>11</v>
      </c>
      <c r="E174" s="14" t="s">
        <v>634</v>
      </c>
      <c r="F174" s="13" t="s">
        <v>650</v>
      </c>
      <c r="G174" s="12" t="s">
        <v>23</v>
      </c>
      <c r="H174" s="15"/>
      <c r="I174" s="15"/>
      <c r="J174" s="15">
        <f t="shared" si="4"/>
        <v>0</v>
      </c>
    </row>
    <row r="175" ht="28.8" spans="1:10">
      <c r="A175" s="12" t="e">
        <f t="shared" si="5"/>
        <v>#REF!</v>
      </c>
      <c r="B175" s="12"/>
      <c r="C175" s="13" t="s">
        <v>870</v>
      </c>
      <c r="D175" s="14" t="s">
        <v>20</v>
      </c>
      <c r="E175" s="14" t="s">
        <v>636</v>
      </c>
      <c r="F175" s="13" t="s">
        <v>654</v>
      </c>
      <c r="G175" s="12" t="s">
        <v>23</v>
      </c>
      <c r="H175" s="15"/>
      <c r="I175" s="15"/>
      <c r="J175" s="15">
        <f t="shared" si="4"/>
        <v>0</v>
      </c>
    </row>
    <row r="176" spans="1:10">
      <c r="A176" s="12" t="e">
        <f t="shared" si="5"/>
        <v>#REF!</v>
      </c>
      <c r="B176" s="12"/>
      <c r="C176" s="13" t="s">
        <v>872</v>
      </c>
      <c r="D176" s="14" t="s">
        <v>11</v>
      </c>
      <c r="E176" s="14" t="s">
        <v>12</v>
      </c>
      <c r="F176" s="13" t="s">
        <v>13</v>
      </c>
      <c r="G176" s="12" t="s">
        <v>14</v>
      </c>
      <c r="H176" s="15"/>
      <c r="I176" s="15"/>
      <c r="J176" s="15">
        <f t="shared" si="4"/>
        <v>0</v>
      </c>
    </row>
    <row r="177" spans="1:10">
      <c r="A177" s="12" t="e">
        <f t="shared" si="5"/>
        <v>#REF!</v>
      </c>
      <c r="B177" s="12"/>
      <c r="C177" s="13" t="s">
        <v>872</v>
      </c>
      <c r="D177" s="14" t="s">
        <v>11</v>
      </c>
      <c r="E177" s="14" t="s">
        <v>12</v>
      </c>
      <c r="F177" s="13" t="s">
        <v>15</v>
      </c>
      <c r="G177" s="12" t="s">
        <v>14</v>
      </c>
      <c r="H177" s="15"/>
      <c r="I177" s="15"/>
      <c r="J177" s="15">
        <f t="shared" si="4"/>
        <v>0</v>
      </c>
    </row>
    <row r="178" spans="1:10">
      <c r="A178" s="12" t="e">
        <f t="shared" si="5"/>
        <v>#REF!</v>
      </c>
      <c r="B178" s="12"/>
      <c r="C178" s="13" t="s">
        <v>872</v>
      </c>
      <c r="D178" s="14" t="s">
        <v>11</v>
      </c>
      <c r="E178" s="14" t="s">
        <v>12</v>
      </c>
      <c r="F178" s="13" t="s">
        <v>28</v>
      </c>
      <c r="G178" s="12" t="s">
        <v>14</v>
      </c>
      <c r="H178" s="15"/>
      <c r="I178" s="15"/>
      <c r="J178" s="15">
        <f t="shared" si="4"/>
        <v>0</v>
      </c>
    </row>
    <row r="179" ht="28.8" spans="1:10">
      <c r="A179" s="12" t="e">
        <f t="shared" si="5"/>
        <v>#REF!</v>
      </c>
      <c r="B179" s="12"/>
      <c r="C179" s="13" t="s">
        <v>872</v>
      </c>
      <c r="D179" s="14" t="s">
        <v>20</v>
      </c>
      <c r="E179" s="14" t="s">
        <v>59</v>
      </c>
      <c r="F179" s="13" t="s">
        <v>667</v>
      </c>
      <c r="G179" s="12" t="s">
        <v>49</v>
      </c>
      <c r="H179" s="15"/>
      <c r="I179" s="15"/>
      <c r="J179" s="15">
        <f t="shared" si="4"/>
        <v>0</v>
      </c>
    </row>
    <row r="180" spans="1:10">
      <c r="A180" s="12" t="e">
        <f t="shared" si="5"/>
        <v>#REF!</v>
      </c>
      <c r="B180" s="12"/>
      <c r="C180" s="13" t="s">
        <v>872</v>
      </c>
      <c r="D180" s="14" t="s">
        <v>20</v>
      </c>
      <c r="E180" s="14" t="s">
        <v>59</v>
      </c>
      <c r="F180" s="13" t="s">
        <v>668</v>
      </c>
      <c r="G180" s="12" t="s">
        <v>49</v>
      </c>
      <c r="H180" s="15"/>
      <c r="I180" s="15"/>
      <c r="J180" s="15">
        <f t="shared" si="4"/>
        <v>0</v>
      </c>
    </row>
    <row r="181" spans="1:10">
      <c r="A181" s="12" t="e">
        <f t="shared" si="5"/>
        <v>#REF!</v>
      </c>
      <c r="B181" s="12"/>
      <c r="C181" s="13" t="s">
        <v>872</v>
      </c>
      <c r="D181" s="14" t="s">
        <v>20</v>
      </c>
      <c r="E181" s="14" t="s">
        <v>59</v>
      </c>
      <c r="F181" s="13" t="s">
        <v>60</v>
      </c>
      <c r="G181" s="12" t="s">
        <v>49</v>
      </c>
      <c r="H181" s="15"/>
      <c r="I181" s="15"/>
      <c r="J181" s="15">
        <f t="shared" si="4"/>
        <v>0</v>
      </c>
    </row>
    <row r="182" spans="1:10">
      <c r="A182" s="12" t="e">
        <f t="shared" si="5"/>
        <v>#REF!</v>
      </c>
      <c r="B182" s="12"/>
      <c r="C182" s="13" t="s">
        <v>872</v>
      </c>
      <c r="D182" s="14" t="s">
        <v>20</v>
      </c>
      <c r="E182" s="14" t="s">
        <v>106</v>
      </c>
      <c r="F182" s="13" t="s">
        <v>873</v>
      </c>
      <c r="G182" s="12" t="s">
        <v>108</v>
      </c>
      <c r="H182" s="15"/>
      <c r="I182" s="15"/>
      <c r="J182" s="15">
        <f t="shared" si="4"/>
        <v>0</v>
      </c>
    </row>
    <row r="183" ht="28.8" spans="1:10">
      <c r="A183" s="12" t="e">
        <f t="shared" si="5"/>
        <v>#REF!</v>
      </c>
      <c r="B183" s="12"/>
      <c r="C183" s="13" t="s">
        <v>875</v>
      </c>
      <c r="D183" s="14" t="s">
        <v>11</v>
      </c>
      <c r="E183" s="14" t="s">
        <v>24</v>
      </c>
      <c r="F183" s="13" t="s">
        <v>604</v>
      </c>
      <c r="G183" s="12" t="s">
        <v>34</v>
      </c>
      <c r="H183" s="15"/>
      <c r="I183" s="15"/>
      <c r="J183" s="15">
        <f t="shared" si="4"/>
        <v>0</v>
      </c>
    </row>
    <row r="184" ht="28.8" spans="1:10">
      <c r="A184" s="12" t="e">
        <f t="shared" si="5"/>
        <v>#REF!</v>
      </c>
      <c r="B184" s="12"/>
      <c r="C184" s="13" t="s">
        <v>875</v>
      </c>
      <c r="D184" s="14" t="s">
        <v>11</v>
      </c>
      <c r="E184" s="14" t="s">
        <v>24</v>
      </c>
      <c r="F184" s="13" t="s">
        <v>605</v>
      </c>
      <c r="G184" s="12" t="s">
        <v>34</v>
      </c>
      <c r="H184" s="15"/>
      <c r="I184" s="15"/>
      <c r="J184" s="15">
        <f t="shared" si="4"/>
        <v>0</v>
      </c>
    </row>
    <row r="185" ht="28.8" spans="1:10">
      <c r="A185" s="12" t="e">
        <f t="shared" si="5"/>
        <v>#REF!</v>
      </c>
      <c r="B185" s="12"/>
      <c r="C185" s="13" t="s">
        <v>875</v>
      </c>
      <c r="D185" s="14" t="s">
        <v>11</v>
      </c>
      <c r="E185" s="14" t="s">
        <v>24</v>
      </c>
      <c r="F185" s="13" t="s">
        <v>606</v>
      </c>
      <c r="G185" s="12" t="s">
        <v>34</v>
      </c>
      <c r="H185" s="15"/>
      <c r="I185" s="15"/>
      <c r="J185" s="15">
        <f t="shared" si="4"/>
        <v>0</v>
      </c>
    </row>
    <row r="186" ht="28.8" spans="1:10">
      <c r="A186" s="12" t="e">
        <f t="shared" si="5"/>
        <v>#REF!</v>
      </c>
      <c r="B186" s="12"/>
      <c r="C186" s="13" t="s">
        <v>875</v>
      </c>
      <c r="D186" s="14" t="s">
        <v>20</v>
      </c>
      <c r="E186" s="14" t="s">
        <v>47</v>
      </c>
      <c r="F186" s="13" t="s">
        <v>50</v>
      </c>
      <c r="G186" s="12" t="s">
        <v>49</v>
      </c>
      <c r="H186" s="15"/>
      <c r="I186" s="15"/>
      <c r="J186" s="15">
        <f t="shared" si="4"/>
        <v>0</v>
      </c>
    </row>
    <row r="187" ht="28.8" spans="1:10">
      <c r="A187" s="12" t="e">
        <f t="shared" si="5"/>
        <v>#REF!</v>
      </c>
      <c r="B187" s="12"/>
      <c r="C187" s="13" t="s">
        <v>875</v>
      </c>
      <c r="D187" s="14" t="s">
        <v>20</v>
      </c>
      <c r="E187" s="14" t="s">
        <v>61</v>
      </c>
      <c r="F187" s="13" t="s">
        <v>78</v>
      </c>
      <c r="G187" s="12" t="s">
        <v>49</v>
      </c>
      <c r="H187" s="15"/>
      <c r="I187" s="15"/>
      <c r="J187" s="15">
        <f t="shared" si="4"/>
        <v>0</v>
      </c>
    </row>
    <row r="188" ht="28.8" spans="1:10">
      <c r="A188" s="12" t="e">
        <f t="shared" si="5"/>
        <v>#REF!</v>
      </c>
      <c r="B188" s="12"/>
      <c r="C188" s="13" t="s">
        <v>875</v>
      </c>
      <c r="D188" s="14" t="s">
        <v>20</v>
      </c>
      <c r="E188" s="14" t="s">
        <v>61</v>
      </c>
      <c r="F188" s="13" t="s">
        <v>607</v>
      </c>
      <c r="G188" s="12" t="s">
        <v>23</v>
      </c>
      <c r="H188" s="15"/>
      <c r="I188" s="15"/>
      <c r="J188" s="15">
        <f t="shared" si="4"/>
        <v>0</v>
      </c>
    </row>
    <row r="189" ht="28.8" spans="1:10">
      <c r="A189" s="12" t="e">
        <f t="shared" si="5"/>
        <v>#REF!</v>
      </c>
      <c r="B189" s="12"/>
      <c r="C189" s="13" t="s">
        <v>875</v>
      </c>
      <c r="D189" s="14" t="s">
        <v>20</v>
      </c>
      <c r="E189" s="14" t="s">
        <v>84</v>
      </c>
      <c r="F189" s="13" t="s">
        <v>86</v>
      </c>
      <c r="G189" s="12" t="s">
        <v>49</v>
      </c>
      <c r="H189" s="15"/>
      <c r="I189" s="15"/>
      <c r="J189" s="15">
        <f t="shared" si="4"/>
        <v>0</v>
      </c>
    </row>
    <row r="190" ht="28.8" spans="1:10">
      <c r="A190" s="12" t="e">
        <f t="shared" si="5"/>
        <v>#REF!</v>
      </c>
      <c r="B190" s="12"/>
      <c r="C190" s="13" t="s">
        <v>875</v>
      </c>
      <c r="D190" s="14" t="s">
        <v>20</v>
      </c>
      <c r="E190" s="14" t="s">
        <v>84</v>
      </c>
      <c r="F190" s="13" t="s">
        <v>88</v>
      </c>
      <c r="G190" s="12" t="s">
        <v>49</v>
      </c>
      <c r="H190" s="15"/>
      <c r="I190" s="15"/>
      <c r="J190" s="15">
        <f t="shared" si="4"/>
        <v>0</v>
      </c>
    </row>
    <row r="191" ht="28.8" spans="1:10">
      <c r="A191" s="12" t="e">
        <f t="shared" si="5"/>
        <v>#REF!</v>
      </c>
      <c r="B191" s="12"/>
      <c r="C191" s="13" t="s">
        <v>875</v>
      </c>
      <c r="D191" s="14" t="s">
        <v>20</v>
      </c>
      <c r="E191" s="14" t="s">
        <v>84</v>
      </c>
      <c r="F191" s="13" t="s">
        <v>89</v>
      </c>
      <c r="G191" s="12" t="s">
        <v>49</v>
      </c>
      <c r="H191" s="15"/>
      <c r="I191" s="15"/>
      <c r="J191" s="15">
        <f t="shared" si="4"/>
        <v>0</v>
      </c>
    </row>
    <row r="192" ht="28.8" spans="1:10">
      <c r="A192" s="12" t="e">
        <f t="shared" si="5"/>
        <v>#REF!</v>
      </c>
      <c r="B192" s="12"/>
      <c r="C192" s="13" t="s">
        <v>875</v>
      </c>
      <c r="D192" s="14" t="s">
        <v>20</v>
      </c>
      <c r="E192" s="14" t="s">
        <v>84</v>
      </c>
      <c r="F192" s="13" t="s">
        <v>608</v>
      </c>
      <c r="G192" s="12" t="s">
        <v>100</v>
      </c>
      <c r="H192" s="15"/>
      <c r="I192" s="15"/>
      <c r="J192" s="15">
        <f t="shared" si="4"/>
        <v>0</v>
      </c>
    </row>
    <row r="193" ht="28.8" spans="1:10">
      <c r="A193" s="12" t="e">
        <f t="shared" si="5"/>
        <v>#REF!</v>
      </c>
      <c r="B193" s="12"/>
      <c r="C193" s="13" t="s">
        <v>875</v>
      </c>
      <c r="D193" s="14" t="s">
        <v>20</v>
      </c>
      <c r="E193" s="14" t="s">
        <v>84</v>
      </c>
      <c r="F193" s="13" t="s">
        <v>609</v>
      </c>
      <c r="G193" s="12" t="s">
        <v>63</v>
      </c>
      <c r="H193" s="15"/>
      <c r="I193" s="15"/>
      <c r="J193" s="15">
        <f t="shared" si="4"/>
        <v>0</v>
      </c>
    </row>
    <row r="194" ht="28.8" spans="1:10">
      <c r="A194" s="12" t="e">
        <f t="shared" si="5"/>
        <v>#REF!</v>
      </c>
      <c r="B194" s="12"/>
      <c r="C194" s="13" t="s">
        <v>875</v>
      </c>
      <c r="D194" s="14" t="s">
        <v>20</v>
      </c>
      <c r="E194" s="14" t="s">
        <v>84</v>
      </c>
      <c r="F194" s="13" t="s">
        <v>610</v>
      </c>
      <c r="G194" s="12" t="s">
        <v>611</v>
      </c>
      <c r="H194" s="15"/>
      <c r="I194" s="15"/>
      <c r="J194" s="15">
        <f t="shared" si="4"/>
        <v>0</v>
      </c>
    </row>
    <row r="195" ht="28.8" spans="1:10">
      <c r="A195" s="12" t="e">
        <f t="shared" si="5"/>
        <v>#REF!</v>
      </c>
      <c r="B195" s="12"/>
      <c r="C195" s="13" t="s">
        <v>875</v>
      </c>
      <c r="D195" s="14" t="s">
        <v>20</v>
      </c>
      <c r="E195" s="14" t="s">
        <v>84</v>
      </c>
      <c r="F195" s="13" t="s">
        <v>612</v>
      </c>
      <c r="G195" s="12" t="s">
        <v>611</v>
      </c>
      <c r="H195" s="15"/>
      <c r="I195" s="15"/>
      <c r="J195" s="15">
        <f t="shared" si="4"/>
        <v>0</v>
      </c>
    </row>
    <row r="196" ht="28.8" spans="1:10">
      <c r="A196" s="12" t="e">
        <f t="shared" si="5"/>
        <v>#REF!</v>
      </c>
      <c r="B196" s="12"/>
      <c r="C196" s="13" t="s">
        <v>877</v>
      </c>
      <c r="D196" s="14" t="s">
        <v>20</v>
      </c>
      <c r="E196" s="14" t="s">
        <v>47</v>
      </c>
      <c r="F196" s="13" t="s">
        <v>48</v>
      </c>
      <c r="G196" s="12" t="s">
        <v>49</v>
      </c>
      <c r="H196" s="15"/>
      <c r="I196" s="15"/>
      <c r="J196" s="15">
        <f t="shared" ref="J196:J259" si="6">+ROUND(PRODUCT(H196*I196),0)</f>
        <v>0</v>
      </c>
    </row>
    <row r="197" ht="28.8" spans="1:10">
      <c r="A197" s="12" t="e">
        <f t="shared" ref="A197:A260" si="7">1+A196</f>
        <v>#REF!</v>
      </c>
      <c r="B197" s="12"/>
      <c r="C197" s="13" t="s">
        <v>877</v>
      </c>
      <c r="D197" s="14" t="s">
        <v>20</v>
      </c>
      <c r="E197" s="14" t="s">
        <v>624</v>
      </c>
      <c r="F197" s="13" t="s">
        <v>625</v>
      </c>
      <c r="G197" s="12" t="s">
        <v>23</v>
      </c>
      <c r="H197" s="15"/>
      <c r="I197" s="15"/>
      <c r="J197" s="15">
        <f t="shared" si="6"/>
        <v>0</v>
      </c>
    </row>
    <row r="198" ht="28.8" spans="1:10">
      <c r="A198" s="12" t="e">
        <f t="shared" si="7"/>
        <v>#REF!</v>
      </c>
      <c r="B198" s="12"/>
      <c r="C198" s="13" t="s">
        <v>877</v>
      </c>
      <c r="D198" s="14" t="s">
        <v>20</v>
      </c>
      <c r="E198" s="14" t="s">
        <v>624</v>
      </c>
      <c r="F198" s="13" t="s">
        <v>626</v>
      </c>
      <c r="G198" s="12" t="s">
        <v>23</v>
      </c>
      <c r="H198" s="15"/>
      <c r="I198" s="15"/>
      <c r="J198" s="15">
        <f t="shared" si="6"/>
        <v>0</v>
      </c>
    </row>
    <row r="199" ht="28.8" spans="1:10">
      <c r="A199" s="12" t="e">
        <f t="shared" si="7"/>
        <v>#REF!</v>
      </c>
      <c r="B199" s="12"/>
      <c r="C199" s="13" t="s">
        <v>877</v>
      </c>
      <c r="D199" s="14" t="s">
        <v>20</v>
      </c>
      <c r="E199" s="14" t="s">
        <v>624</v>
      </c>
      <c r="F199" s="13" t="s">
        <v>627</v>
      </c>
      <c r="G199" s="12" t="s">
        <v>23</v>
      </c>
      <c r="H199" s="15"/>
      <c r="I199" s="15"/>
      <c r="J199" s="15">
        <f t="shared" si="6"/>
        <v>0</v>
      </c>
    </row>
    <row r="200" ht="28.8" spans="1:10">
      <c r="A200" s="12" t="e">
        <f t="shared" si="7"/>
        <v>#REF!</v>
      </c>
      <c r="B200" s="12"/>
      <c r="C200" s="13" t="s">
        <v>877</v>
      </c>
      <c r="D200" s="14" t="s">
        <v>20</v>
      </c>
      <c r="E200" s="14" t="s">
        <v>624</v>
      </c>
      <c r="F200" s="13" t="s">
        <v>628</v>
      </c>
      <c r="G200" s="12" t="s">
        <v>23</v>
      </c>
      <c r="H200" s="15"/>
      <c r="I200" s="15"/>
      <c r="J200" s="15">
        <f t="shared" si="6"/>
        <v>0</v>
      </c>
    </row>
    <row r="201" ht="28.8" spans="1:10">
      <c r="A201" s="12" t="e">
        <f t="shared" si="7"/>
        <v>#REF!</v>
      </c>
      <c r="B201" s="12"/>
      <c r="C201" s="13" t="s">
        <v>877</v>
      </c>
      <c r="D201" s="14" t="s">
        <v>11</v>
      </c>
      <c r="E201" s="14" t="s">
        <v>630</v>
      </c>
      <c r="F201" s="13" t="s">
        <v>631</v>
      </c>
      <c r="G201" s="12" t="s">
        <v>17</v>
      </c>
      <c r="H201" s="15"/>
      <c r="I201" s="15"/>
      <c r="J201" s="15">
        <f t="shared" si="6"/>
        <v>0</v>
      </c>
    </row>
    <row r="202" ht="28.8" spans="1:10">
      <c r="A202" s="12" t="e">
        <f t="shared" si="7"/>
        <v>#REF!</v>
      </c>
      <c r="B202" s="12"/>
      <c r="C202" s="13" t="s">
        <v>879</v>
      </c>
      <c r="D202" s="14" t="s">
        <v>20</v>
      </c>
      <c r="E202" s="14" t="s">
        <v>47</v>
      </c>
      <c r="F202" s="13" t="s">
        <v>48</v>
      </c>
      <c r="G202" s="12" t="s">
        <v>49</v>
      </c>
      <c r="H202" s="15"/>
      <c r="I202" s="15"/>
      <c r="J202" s="15">
        <f t="shared" si="6"/>
        <v>0</v>
      </c>
    </row>
    <row r="203" ht="28.8" spans="1:10">
      <c r="A203" s="12" t="e">
        <f t="shared" si="7"/>
        <v>#REF!</v>
      </c>
      <c r="B203" s="12"/>
      <c r="C203" s="13" t="s">
        <v>879</v>
      </c>
      <c r="D203" s="14" t="s">
        <v>20</v>
      </c>
      <c r="E203" s="14" t="s">
        <v>624</v>
      </c>
      <c r="F203" s="13" t="s">
        <v>625</v>
      </c>
      <c r="G203" s="12" t="s">
        <v>23</v>
      </c>
      <c r="H203" s="15"/>
      <c r="I203" s="15"/>
      <c r="J203" s="15">
        <f t="shared" si="6"/>
        <v>0</v>
      </c>
    </row>
    <row r="204" ht="28.8" spans="1:10">
      <c r="A204" s="12" t="e">
        <f t="shared" si="7"/>
        <v>#REF!</v>
      </c>
      <c r="B204" s="12"/>
      <c r="C204" s="13" t="s">
        <v>879</v>
      </c>
      <c r="D204" s="14" t="s">
        <v>20</v>
      </c>
      <c r="E204" s="14" t="s">
        <v>624</v>
      </c>
      <c r="F204" s="13" t="s">
        <v>626</v>
      </c>
      <c r="G204" s="12" t="s">
        <v>23</v>
      </c>
      <c r="H204" s="15"/>
      <c r="I204" s="15"/>
      <c r="J204" s="15">
        <f t="shared" si="6"/>
        <v>0</v>
      </c>
    </row>
    <row r="205" ht="28.8" spans="1:10">
      <c r="A205" s="12" t="e">
        <f t="shared" si="7"/>
        <v>#REF!</v>
      </c>
      <c r="B205" s="12"/>
      <c r="C205" s="13" t="s">
        <v>879</v>
      </c>
      <c r="D205" s="14" t="s">
        <v>20</v>
      </c>
      <c r="E205" s="14" t="s">
        <v>624</v>
      </c>
      <c r="F205" s="13" t="s">
        <v>627</v>
      </c>
      <c r="G205" s="12" t="s">
        <v>23</v>
      </c>
      <c r="H205" s="15"/>
      <c r="I205" s="15"/>
      <c r="J205" s="15">
        <f t="shared" si="6"/>
        <v>0</v>
      </c>
    </row>
    <row r="206" ht="28.8" spans="1:10">
      <c r="A206" s="12" t="e">
        <f t="shared" si="7"/>
        <v>#REF!</v>
      </c>
      <c r="B206" s="12"/>
      <c r="C206" s="13" t="s">
        <v>879</v>
      </c>
      <c r="D206" s="14" t="s">
        <v>20</v>
      </c>
      <c r="E206" s="14" t="s">
        <v>624</v>
      </c>
      <c r="F206" s="13" t="s">
        <v>628</v>
      </c>
      <c r="G206" s="12" t="s">
        <v>23</v>
      </c>
      <c r="H206" s="15"/>
      <c r="I206" s="15"/>
      <c r="J206" s="15">
        <f t="shared" si="6"/>
        <v>0</v>
      </c>
    </row>
    <row r="207" ht="28.8" spans="1:10">
      <c r="A207" s="12" t="e">
        <f t="shared" si="7"/>
        <v>#REF!</v>
      </c>
      <c r="B207" s="12"/>
      <c r="C207" s="13" t="s">
        <v>879</v>
      </c>
      <c r="D207" s="14" t="s">
        <v>11</v>
      </c>
      <c r="E207" s="14" t="s">
        <v>630</v>
      </c>
      <c r="F207" s="13" t="s">
        <v>631</v>
      </c>
      <c r="G207" s="12" t="s">
        <v>17</v>
      </c>
      <c r="H207" s="15"/>
      <c r="I207" s="15"/>
      <c r="J207" s="15">
        <f t="shared" si="6"/>
        <v>0</v>
      </c>
    </row>
    <row r="208" ht="28.8" spans="1:10">
      <c r="A208" s="12" t="e">
        <f t="shared" si="7"/>
        <v>#REF!</v>
      </c>
      <c r="B208" s="12"/>
      <c r="C208" s="13" t="s">
        <v>881</v>
      </c>
      <c r="D208" s="14" t="s">
        <v>20</v>
      </c>
      <c r="E208" s="14" t="s">
        <v>47</v>
      </c>
      <c r="F208" s="13" t="s">
        <v>48</v>
      </c>
      <c r="G208" s="12" t="s">
        <v>49</v>
      </c>
      <c r="H208" s="15"/>
      <c r="I208" s="15"/>
      <c r="J208" s="15">
        <f t="shared" si="6"/>
        <v>0</v>
      </c>
    </row>
    <row r="209" ht="28.8" spans="1:10">
      <c r="A209" s="12" t="e">
        <f t="shared" si="7"/>
        <v>#REF!</v>
      </c>
      <c r="B209" s="12"/>
      <c r="C209" s="13" t="s">
        <v>881</v>
      </c>
      <c r="D209" s="14" t="s">
        <v>20</v>
      </c>
      <c r="E209" s="14" t="s">
        <v>624</v>
      </c>
      <c r="F209" s="13" t="s">
        <v>625</v>
      </c>
      <c r="G209" s="12" t="s">
        <v>23</v>
      </c>
      <c r="H209" s="15"/>
      <c r="I209" s="15"/>
      <c r="J209" s="15">
        <f t="shared" si="6"/>
        <v>0</v>
      </c>
    </row>
    <row r="210" ht="28.8" spans="1:10">
      <c r="A210" s="12" t="e">
        <f t="shared" si="7"/>
        <v>#REF!</v>
      </c>
      <c r="B210" s="12"/>
      <c r="C210" s="13" t="s">
        <v>881</v>
      </c>
      <c r="D210" s="14" t="s">
        <v>20</v>
      </c>
      <c r="E210" s="14" t="s">
        <v>624</v>
      </c>
      <c r="F210" s="13" t="s">
        <v>626</v>
      </c>
      <c r="G210" s="12" t="s">
        <v>23</v>
      </c>
      <c r="H210" s="15"/>
      <c r="I210" s="15"/>
      <c r="J210" s="15">
        <f t="shared" si="6"/>
        <v>0</v>
      </c>
    </row>
    <row r="211" ht="28.8" spans="1:10">
      <c r="A211" s="12" t="e">
        <f t="shared" si="7"/>
        <v>#REF!</v>
      </c>
      <c r="B211" s="12"/>
      <c r="C211" s="13" t="s">
        <v>881</v>
      </c>
      <c r="D211" s="14" t="s">
        <v>20</v>
      </c>
      <c r="E211" s="14" t="s">
        <v>624</v>
      </c>
      <c r="F211" s="13" t="s">
        <v>627</v>
      </c>
      <c r="G211" s="12" t="s">
        <v>23</v>
      </c>
      <c r="H211" s="15"/>
      <c r="I211" s="15"/>
      <c r="J211" s="15">
        <f t="shared" si="6"/>
        <v>0</v>
      </c>
    </row>
    <row r="212" ht="28.8" spans="1:10">
      <c r="A212" s="12" t="e">
        <f t="shared" si="7"/>
        <v>#REF!</v>
      </c>
      <c r="B212" s="12"/>
      <c r="C212" s="13" t="s">
        <v>881</v>
      </c>
      <c r="D212" s="14" t="s">
        <v>20</v>
      </c>
      <c r="E212" s="14" t="s">
        <v>624</v>
      </c>
      <c r="F212" s="13" t="s">
        <v>628</v>
      </c>
      <c r="G212" s="12" t="s">
        <v>23</v>
      </c>
      <c r="H212" s="15"/>
      <c r="I212" s="15"/>
      <c r="J212" s="15">
        <f t="shared" si="6"/>
        <v>0</v>
      </c>
    </row>
    <row r="213" ht="28.8" spans="1:10">
      <c r="A213" s="12" t="e">
        <f t="shared" si="7"/>
        <v>#REF!</v>
      </c>
      <c r="B213" s="12"/>
      <c r="C213" s="13" t="s">
        <v>881</v>
      </c>
      <c r="D213" s="14" t="s">
        <v>11</v>
      </c>
      <c r="E213" s="14" t="s">
        <v>630</v>
      </c>
      <c r="F213" s="13" t="s">
        <v>631</v>
      </c>
      <c r="G213" s="12" t="s">
        <v>17</v>
      </c>
      <c r="H213" s="15"/>
      <c r="I213" s="15"/>
      <c r="J213" s="15">
        <f t="shared" si="6"/>
        <v>0</v>
      </c>
    </row>
    <row r="214" ht="28.8" spans="1:10">
      <c r="A214" s="12" t="e">
        <f t="shared" si="7"/>
        <v>#REF!</v>
      </c>
      <c r="B214" s="12"/>
      <c r="C214" s="13" t="s">
        <v>883</v>
      </c>
      <c r="D214" s="14" t="s">
        <v>20</v>
      </c>
      <c r="E214" s="14" t="s">
        <v>47</v>
      </c>
      <c r="F214" s="13" t="s">
        <v>48</v>
      </c>
      <c r="G214" s="12" t="s">
        <v>49</v>
      </c>
      <c r="H214" s="15"/>
      <c r="I214" s="15"/>
      <c r="J214" s="15">
        <f t="shared" si="6"/>
        <v>0</v>
      </c>
    </row>
    <row r="215" ht="28.8" spans="1:10">
      <c r="A215" s="12" t="e">
        <f t="shared" si="7"/>
        <v>#REF!</v>
      </c>
      <c r="B215" s="12"/>
      <c r="C215" s="13" t="s">
        <v>883</v>
      </c>
      <c r="D215" s="14" t="s">
        <v>20</v>
      </c>
      <c r="E215" s="14" t="s">
        <v>624</v>
      </c>
      <c r="F215" s="13" t="s">
        <v>625</v>
      </c>
      <c r="G215" s="12" t="s">
        <v>23</v>
      </c>
      <c r="H215" s="15"/>
      <c r="I215" s="15"/>
      <c r="J215" s="15">
        <f t="shared" si="6"/>
        <v>0</v>
      </c>
    </row>
    <row r="216" ht="28.8" spans="1:10">
      <c r="A216" s="12" t="e">
        <f t="shared" si="7"/>
        <v>#REF!</v>
      </c>
      <c r="B216" s="12"/>
      <c r="C216" s="13" t="s">
        <v>883</v>
      </c>
      <c r="D216" s="14" t="s">
        <v>20</v>
      </c>
      <c r="E216" s="14" t="s">
        <v>624</v>
      </c>
      <c r="F216" s="13" t="s">
        <v>626</v>
      </c>
      <c r="G216" s="12" t="s">
        <v>23</v>
      </c>
      <c r="H216" s="15"/>
      <c r="I216" s="15"/>
      <c r="J216" s="15">
        <f t="shared" si="6"/>
        <v>0</v>
      </c>
    </row>
    <row r="217" ht="28.8" spans="1:10">
      <c r="A217" s="12" t="e">
        <f t="shared" si="7"/>
        <v>#REF!</v>
      </c>
      <c r="B217" s="12"/>
      <c r="C217" s="13" t="s">
        <v>883</v>
      </c>
      <c r="D217" s="14" t="s">
        <v>20</v>
      </c>
      <c r="E217" s="14" t="s">
        <v>624</v>
      </c>
      <c r="F217" s="13" t="s">
        <v>627</v>
      </c>
      <c r="G217" s="12" t="s">
        <v>23</v>
      </c>
      <c r="H217" s="15"/>
      <c r="I217" s="15"/>
      <c r="J217" s="15">
        <f t="shared" si="6"/>
        <v>0</v>
      </c>
    </row>
    <row r="218" ht="28.8" spans="1:10">
      <c r="A218" s="12" t="e">
        <f t="shared" si="7"/>
        <v>#REF!</v>
      </c>
      <c r="B218" s="12"/>
      <c r="C218" s="13" t="s">
        <v>883</v>
      </c>
      <c r="D218" s="14" t="s">
        <v>20</v>
      </c>
      <c r="E218" s="14" t="s">
        <v>624</v>
      </c>
      <c r="F218" s="13" t="s">
        <v>628</v>
      </c>
      <c r="G218" s="12" t="s">
        <v>23</v>
      </c>
      <c r="H218" s="15"/>
      <c r="I218" s="15"/>
      <c r="J218" s="15">
        <f t="shared" si="6"/>
        <v>0</v>
      </c>
    </row>
    <row r="219" ht="28.8" spans="1:10">
      <c r="A219" s="12" t="e">
        <f t="shared" si="7"/>
        <v>#REF!</v>
      </c>
      <c r="B219" s="12"/>
      <c r="C219" s="13" t="s">
        <v>883</v>
      </c>
      <c r="D219" s="14" t="s">
        <v>11</v>
      </c>
      <c r="E219" s="14" t="s">
        <v>630</v>
      </c>
      <c r="F219" s="13" t="s">
        <v>631</v>
      </c>
      <c r="G219" s="12" t="s">
        <v>17</v>
      </c>
      <c r="H219" s="15"/>
      <c r="I219" s="15"/>
      <c r="J219" s="15">
        <f t="shared" si="6"/>
        <v>0</v>
      </c>
    </row>
    <row r="220" ht="28.8" spans="1:10">
      <c r="A220" s="12" t="e">
        <f t="shared" si="7"/>
        <v>#REF!</v>
      </c>
      <c r="B220" s="12"/>
      <c r="C220" s="13" t="s">
        <v>885</v>
      </c>
      <c r="D220" s="14" t="s">
        <v>20</v>
      </c>
      <c r="E220" s="14" t="s">
        <v>47</v>
      </c>
      <c r="F220" s="13" t="s">
        <v>48</v>
      </c>
      <c r="G220" s="12" t="s">
        <v>49</v>
      </c>
      <c r="H220" s="15"/>
      <c r="I220" s="15"/>
      <c r="J220" s="15">
        <f t="shared" si="6"/>
        <v>0</v>
      </c>
    </row>
    <row r="221" ht="28.8" spans="1:10">
      <c r="A221" s="12" t="e">
        <f t="shared" si="7"/>
        <v>#REF!</v>
      </c>
      <c r="B221" s="12"/>
      <c r="C221" s="13" t="s">
        <v>885</v>
      </c>
      <c r="D221" s="14" t="s">
        <v>20</v>
      </c>
      <c r="E221" s="14" t="s">
        <v>624</v>
      </c>
      <c r="F221" s="13" t="s">
        <v>625</v>
      </c>
      <c r="G221" s="12" t="s">
        <v>23</v>
      </c>
      <c r="H221" s="15"/>
      <c r="I221" s="15"/>
      <c r="J221" s="15">
        <f t="shared" si="6"/>
        <v>0</v>
      </c>
    </row>
    <row r="222" ht="28.8" spans="1:10">
      <c r="A222" s="12" t="e">
        <f t="shared" si="7"/>
        <v>#REF!</v>
      </c>
      <c r="B222" s="12"/>
      <c r="C222" s="13" t="s">
        <v>885</v>
      </c>
      <c r="D222" s="14" t="s">
        <v>20</v>
      </c>
      <c r="E222" s="14" t="s">
        <v>624</v>
      </c>
      <c r="F222" s="13" t="s">
        <v>626</v>
      </c>
      <c r="G222" s="12" t="s">
        <v>23</v>
      </c>
      <c r="H222" s="15"/>
      <c r="I222" s="15"/>
      <c r="J222" s="15">
        <f t="shared" si="6"/>
        <v>0</v>
      </c>
    </row>
    <row r="223" ht="28.8" spans="1:10">
      <c r="A223" s="12" t="e">
        <f t="shared" si="7"/>
        <v>#REF!</v>
      </c>
      <c r="B223" s="12"/>
      <c r="C223" s="13" t="s">
        <v>885</v>
      </c>
      <c r="D223" s="14" t="s">
        <v>20</v>
      </c>
      <c r="E223" s="14" t="s">
        <v>624</v>
      </c>
      <c r="F223" s="13" t="s">
        <v>627</v>
      </c>
      <c r="G223" s="12" t="s">
        <v>23</v>
      </c>
      <c r="H223" s="15"/>
      <c r="I223" s="15"/>
      <c r="J223" s="15">
        <f t="shared" si="6"/>
        <v>0</v>
      </c>
    </row>
    <row r="224" ht="28.8" spans="1:10">
      <c r="A224" s="12" t="e">
        <f t="shared" si="7"/>
        <v>#REF!</v>
      </c>
      <c r="B224" s="12"/>
      <c r="C224" s="13" t="s">
        <v>885</v>
      </c>
      <c r="D224" s="14" t="s">
        <v>20</v>
      </c>
      <c r="E224" s="14" t="s">
        <v>624</v>
      </c>
      <c r="F224" s="13" t="s">
        <v>628</v>
      </c>
      <c r="G224" s="12" t="s">
        <v>23</v>
      </c>
      <c r="H224" s="15"/>
      <c r="I224" s="15"/>
      <c r="J224" s="15">
        <f t="shared" si="6"/>
        <v>0</v>
      </c>
    </row>
    <row r="225" ht="28.8" spans="1:10">
      <c r="A225" s="12" t="e">
        <f t="shared" si="7"/>
        <v>#REF!</v>
      </c>
      <c r="B225" s="12"/>
      <c r="C225" s="13" t="s">
        <v>885</v>
      </c>
      <c r="D225" s="14" t="s">
        <v>11</v>
      </c>
      <c r="E225" s="14" t="s">
        <v>630</v>
      </c>
      <c r="F225" s="13" t="s">
        <v>631</v>
      </c>
      <c r="G225" s="12" t="s">
        <v>17</v>
      </c>
      <c r="H225" s="15"/>
      <c r="I225" s="15"/>
      <c r="J225" s="15">
        <f t="shared" si="6"/>
        <v>0</v>
      </c>
    </row>
    <row r="226" ht="28.8" spans="1:10">
      <c r="A226" s="12" t="e">
        <f t="shared" si="7"/>
        <v>#REF!</v>
      </c>
      <c r="B226" s="12"/>
      <c r="C226" s="13" t="s">
        <v>887</v>
      </c>
      <c r="D226" s="14" t="s">
        <v>20</v>
      </c>
      <c r="E226" s="14" t="s">
        <v>47</v>
      </c>
      <c r="F226" s="13" t="s">
        <v>48</v>
      </c>
      <c r="G226" s="12" t="s">
        <v>49</v>
      </c>
      <c r="H226" s="15"/>
      <c r="I226" s="15"/>
      <c r="J226" s="15">
        <f t="shared" si="6"/>
        <v>0</v>
      </c>
    </row>
    <row r="227" ht="28.8" spans="1:10">
      <c r="A227" s="12" t="e">
        <f t="shared" si="7"/>
        <v>#REF!</v>
      </c>
      <c r="B227" s="12"/>
      <c r="C227" s="13" t="s">
        <v>887</v>
      </c>
      <c r="D227" s="14" t="s">
        <v>20</v>
      </c>
      <c r="E227" s="14" t="s">
        <v>624</v>
      </c>
      <c r="F227" s="13" t="s">
        <v>625</v>
      </c>
      <c r="G227" s="12" t="s">
        <v>23</v>
      </c>
      <c r="H227" s="15"/>
      <c r="I227" s="15"/>
      <c r="J227" s="15">
        <f t="shared" si="6"/>
        <v>0</v>
      </c>
    </row>
    <row r="228" ht="28.8" spans="1:10">
      <c r="A228" s="12" t="e">
        <f t="shared" si="7"/>
        <v>#REF!</v>
      </c>
      <c r="B228" s="12"/>
      <c r="C228" s="13" t="s">
        <v>887</v>
      </c>
      <c r="D228" s="14" t="s">
        <v>20</v>
      </c>
      <c r="E228" s="14" t="s">
        <v>624</v>
      </c>
      <c r="F228" s="13" t="s">
        <v>626</v>
      </c>
      <c r="G228" s="12" t="s">
        <v>23</v>
      </c>
      <c r="H228" s="15"/>
      <c r="I228" s="15"/>
      <c r="J228" s="15">
        <f t="shared" si="6"/>
        <v>0</v>
      </c>
    </row>
    <row r="229" ht="28.8" spans="1:10">
      <c r="A229" s="12" t="e">
        <f t="shared" si="7"/>
        <v>#REF!</v>
      </c>
      <c r="B229" s="12"/>
      <c r="C229" s="13" t="s">
        <v>887</v>
      </c>
      <c r="D229" s="14" t="s">
        <v>20</v>
      </c>
      <c r="E229" s="14" t="s">
        <v>624</v>
      </c>
      <c r="F229" s="13" t="s">
        <v>627</v>
      </c>
      <c r="G229" s="12" t="s">
        <v>23</v>
      </c>
      <c r="H229" s="15"/>
      <c r="I229" s="15"/>
      <c r="J229" s="15">
        <f t="shared" si="6"/>
        <v>0</v>
      </c>
    </row>
    <row r="230" ht="28.8" spans="1:10">
      <c r="A230" s="12" t="e">
        <f t="shared" si="7"/>
        <v>#REF!</v>
      </c>
      <c r="B230" s="12"/>
      <c r="C230" s="13" t="s">
        <v>887</v>
      </c>
      <c r="D230" s="14" t="s">
        <v>20</v>
      </c>
      <c r="E230" s="14" t="s">
        <v>624</v>
      </c>
      <c r="F230" s="13" t="s">
        <v>628</v>
      </c>
      <c r="G230" s="12" t="s">
        <v>23</v>
      </c>
      <c r="H230" s="15"/>
      <c r="I230" s="15"/>
      <c r="J230" s="15">
        <f t="shared" si="6"/>
        <v>0</v>
      </c>
    </row>
    <row r="231" ht="28.8" spans="1:10">
      <c r="A231" s="12" t="e">
        <f t="shared" si="7"/>
        <v>#REF!</v>
      </c>
      <c r="B231" s="12"/>
      <c r="C231" s="13" t="s">
        <v>887</v>
      </c>
      <c r="D231" s="14" t="s">
        <v>11</v>
      </c>
      <c r="E231" s="14" t="s">
        <v>630</v>
      </c>
      <c r="F231" s="13" t="s">
        <v>631</v>
      </c>
      <c r="G231" s="12" t="s">
        <v>17</v>
      </c>
      <c r="H231" s="15"/>
      <c r="I231" s="15"/>
      <c r="J231" s="15">
        <f t="shared" si="6"/>
        <v>0</v>
      </c>
    </row>
    <row r="232" ht="28.8" spans="1:10">
      <c r="A232" s="12" t="e">
        <f t="shared" si="7"/>
        <v>#REF!</v>
      </c>
      <c r="B232" s="12"/>
      <c r="C232" s="13" t="s">
        <v>889</v>
      </c>
      <c r="D232" s="14" t="s">
        <v>20</v>
      </c>
      <c r="E232" s="14" t="s">
        <v>47</v>
      </c>
      <c r="F232" s="13" t="s">
        <v>48</v>
      </c>
      <c r="G232" s="12" t="s">
        <v>49</v>
      </c>
      <c r="H232" s="15"/>
      <c r="I232" s="15"/>
      <c r="J232" s="15">
        <f t="shared" si="6"/>
        <v>0</v>
      </c>
    </row>
    <row r="233" ht="28.8" spans="1:10">
      <c r="A233" s="12" t="e">
        <f t="shared" si="7"/>
        <v>#REF!</v>
      </c>
      <c r="B233" s="12"/>
      <c r="C233" s="13" t="s">
        <v>889</v>
      </c>
      <c r="D233" s="14" t="s">
        <v>20</v>
      </c>
      <c r="E233" s="14" t="s">
        <v>624</v>
      </c>
      <c r="F233" s="13" t="s">
        <v>625</v>
      </c>
      <c r="G233" s="12" t="s">
        <v>23</v>
      </c>
      <c r="H233" s="15"/>
      <c r="I233" s="15"/>
      <c r="J233" s="15">
        <f t="shared" si="6"/>
        <v>0</v>
      </c>
    </row>
    <row r="234" ht="28.8" spans="1:10">
      <c r="A234" s="12" t="e">
        <f t="shared" si="7"/>
        <v>#REF!</v>
      </c>
      <c r="B234" s="12"/>
      <c r="C234" s="13" t="s">
        <v>889</v>
      </c>
      <c r="D234" s="14" t="s">
        <v>20</v>
      </c>
      <c r="E234" s="14" t="s">
        <v>624</v>
      </c>
      <c r="F234" s="13" t="s">
        <v>626</v>
      </c>
      <c r="G234" s="12" t="s">
        <v>23</v>
      </c>
      <c r="H234" s="15"/>
      <c r="I234" s="15"/>
      <c r="J234" s="15">
        <f t="shared" si="6"/>
        <v>0</v>
      </c>
    </row>
    <row r="235" ht="28.8" spans="1:10">
      <c r="A235" s="12" t="e">
        <f t="shared" si="7"/>
        <v>#REF!</v>
      </c>
      <c r="B235" s="12"/>
      <c r="C235" s="13" t="s">
        <v>889</v>
      </c>
      <c r="D235" s="14" t="s">
        <v>20</v>
      </c>
      <c r="E235" s="14" t="s">
        <v>624</v>
      </c>
      <c r="F235" s="13" t="s">
        <v>627</v>
      </c>
      <c r="G235" s="12" t="s">
        <v>23</v>
      </c>
      <c r="H235" s="15"/>
      <c r="I235" s="15"/>
      <c r="J235" s="15">
        <f t="shared" si="6"/>
        <v>0</v>
      </c>
    </row>
    <row r="236" ht="28.8" spans="1:10">
      <c r="A236" s="12" t="e">
        <f t="shared" si="7"/>
        <v>#REF!</v>
      </c>
      <c r="B236" s="12"/>
      <c r="C236" s="13" t="s">
        <v>889</v>
      </c>
      <c r="D236" s="14" t="s">
        <v>20</v>
      </c>
      <c r="E236" s="14" t="s">
        <v>624</v>
      </c>
      <c r="F236" s="13" t="s">
        <v>628</v>
      </c>
      <c r="G236" s="12" t="s">
        <v>23</v>
      </c>
      <c r="H236" s="15"/>
      <c r="I236" s="15"/>
      <c r="J236" s="15">
        <f t="shared" si="6"/>
        <v>0</v>
      </c>
    </row>
    <row r="237" ht="28.8" spans="1:10">
      <c r="A237" s="12" t="e">
        <f t="shared" si="7"/>
        <v>#REF!</v>
      </c>
      <c r="B237" s="12"/>
      <c r="C237" s="13" t="s">
        <v>889</v>
      </c>
      <c r="D237" s="14" t="s">
        <v>11</v>
      </c>
      <c r="E237" s="14" t="s">
        <v>630</v>
      </c>
      <c r="F237" s="13" t="s">
        <v>631</v>
      </c>
      <c r="G237" s="12" t="s">
        <v>17</v>
      </c>
      <c r="H237" s="15"/>
      <c r="I237" s="15"/>
      <c r="J237" s="15">
        <f t="shared" si="6"/>
        <v>0</v>
      </c>
    </row>
    <row r="238" ht="28.8" spans="1:10">
      <c r="A238" s="12" t="e">
        <f t="shared" si="7"/>
        <v>#REF!</v>
      </c>
      <c r="B238" s="12"/>
      <c r="C238" s="13" t="s">
        <v>891</v>
      </c>
      <c r="D238" s="14" t="s">
        <v>20</v>
      </c>
      <c r="E238" s="14" t="s">
        <v>47</v>
      </c>
      <c r="F238" s="13" t="s">
        <v>48</v>
      </c>
      <c r="G238" s="12" t="s">
        <v>49</v>
      </c>
      <c r="H238" s="15"/>
      <c r="I238" s="15"/>
      <c r="J238" s="15">
        <f t="shared" si="6"/>
        <v>0</v>
      </c>
    </row>
    <row r="239" ht="28.8" spans="1:10">
      <c r="A239" s="12" t="e">
        <f t="shared" si="7"/>
        <v>#REF!</v>
      </c>
      <c r="B239" s="12"/>
      <c r="C239" s="13" t="s">
        <v>891</v>
      </c>
      <c r="D239" s="14" t="s">
        <v>20</v>
      </c>
      <c r="E239" s="14" t="s">
        <v>624</v>
      </c>
      <c r="F239" s="13" t="s">
        <v>625</v>
      </c>
      <c r="G239" s="12" t="s">
        <v>23</v>
      </c>
      <c r="H239" s="15"/>
      <c r="I239" s="15"/>
      <c r="J239" s="15">
        <f t="shared" si="6"/>
        <v>0</v>
      </c>
    </row>
    <row r="240" ht="28.8" spans="1:10">
      <c r="A240" s="12" t="e">
        <f t="shared" si="7"/>
        <v>#REF!</v>
      </c>
      <c r="B240" s="12"/>
      <c r="C240" s="13" t="s">
        <v>891</v>
      </c>
      <c r="D240" s="14" t="s">
        <v>20</v>
      </c>
      <c r="E240" s="14" t="s">
        <v>624</v>
      </c>
      <c r="F240" s="13" t="s">
        <v>626</v>
      </c>
      <c r="G240" s="12" t="s">
        <v>23</v>
      </c>
      <c r="H240" s="15"/>
      <c r="I240" s="15"/>
      <c r="J240" s="15">
        <f t="shared" si="6"/>
        <v>0</v>
      </c>
    </row>
    <row r="241" ht="28.8" spans="1:10">
      <c r="A241" s="12" t="e">
        <f t="shared" si="7"/>
        <v>#REF!</v>
      </c>
      <c r="B241" s="12"/>
      <c r="C241" s="13" t="s">
        <v>891</v>
      </c>
      <c r="D241" s="14" t="s">
        <v>20</v>
      </c>
      <c r="E241" s="14" t="s">
        <v>624</v>
      </c>
      <c r="F241" s="13" t="s">
        <v>627</v>
      </c>
      <c r="G241" s="12" t="s">
        <v>23</v>
      </c>
      <c r="H241" s="15"/>
      <c r="I241" s="15"/>
      <c r="J241" s="15">
        <f t="shared" si="6"/>
        <v>0</v>
      </c>
    </row>
    <row r="242" ht="28.8" spans="1:10">
      <c r="A242" s="12" t="e">
        <f t="shared" si="7"/>
        <v>#REF!</v>
      </c>
      <c r="B242" s="12"/>
      <c r="C242" s="13" t="s">
        <v>891</v>
      </c>
      <c r="D242" s="14" t="s">
        <v>20</v>
      </c>
      <c r="E242" s="14" t="s">
        <v>624</v>
      </c>
      <c r="F242" s="13" t="s">
        <v>628</v>
      </c>
      <c r="G242" s="12" t="s">
        <v>23</v>
      </c>
      <c r="H242" s="15"/>
      <c r="I242" s="15"/>
      <c r="J242" s="15">
        <f t="shared" si="6"/>
        <v>0</v>
      </c>
    </row>
    <row r="243" ht="28.8" spans="1:10">
      <c r="A243" s="12" t="e">
        <f t="shared" si="7"/>
        <v>#REF!</v>
      </c>
      <c r="B243" s="12"/>
      <c r="C243" s="13" t="s">
        <v>891</v>
      </c>
      <c r="D243" s="14" t="s">
        <v>11</v>
      </c>
      <c r="E243" s="14" t="s">
        <v>630</v>
      </c>
      <c r="F243" s="13" t="s">
        <v>631</v>
      </c>
      <c r="G243" s="12" t="s">
        <v>17</v>
      </c>
      <c r="H243" s="15"/>
      <c r="I243" s="15"/>
      <c r="J243" s="15">
        <f t="shared" si="6"/>
        <v>0</v>
      </c>
    </row>
    <row r="244" ht="28.8" spans="1:10">
      <c r="A244" s="12" t="e">
        <f t="shared" si="7"/>
        <v>#REF!</v>
      </c>
      <c r="B244" s="12"/>
      <c r="C244" s="13" t="s">
        <v>893</v>
      </c>
      <c r="D244" s="14" t="s">
        <v>20</v>
      </c>
      <c r="E244" s="14" t="s">
        <v>47</v>
      </c>
      <c r="F244" s="13" t="s">
        <v>48</v>
      </c>
      <c r="G244" s="12" t="s">
        <v>49</v>
      </c>
      <c r="H244" s="15"/>
      <c r="I244" s="15"/>
      <c r="J244" s="15">
        <f t="shared" si="6"/>
        <v>0</v>
      </c>
    </row>
    <row r="245" ht="28.8" spans="1:10">
      <c r="A245" s="12" t="e">
        <f t="shared" si="7"/>
        <v>#REF!</v>
      </c>
      <c r="B245" s="12"/>
      <c r="C245" s="13" t="s">
        <v>893</v>
      </c>
      <c r="D245" s="14" t="s">
        <v>20</v>
      </c>
      <c r="E245" s="14" t="s">
        <v>624</v>
      </c>
      <c r="F245" s="13" t="s">
        <v>625</v>
      </c>
      <c r="G245" s="12" t="s">
        <v>23</v>
      </c>
      <c r="H245" s="15"/>
      <c r="I245" s="15"/>
      <c r="J245" s="15">
        <f t="shared" si="6"/>
        <v>0</v>
      </c>
    </row>
    <row r="246" ht="28.8" spans="1:10">
      <c r="A246" s="12" t="e">
        <f t="shared" si="7"/>
        <v>#REF!</v>
      </c>
      <c r="B246" s="12"/>
      <c r="C246" s="13" t="s">
        <v>893</v>
      </c>
      <c r="D246" s="14" t="s">
        <v>20</v>
      </c>
      <c r="E246" s="14" t="s">
        <v>624</v>
      </c>
      <c r="F246" s="13" t="s">
        <v>626</v>
      </c>
      <c r="G246" s="12" t="s">
        <v>23</v>
      </c>
      <c r="H246" s="15"/>
      <c r="I246" s="15"/>
      <c r="J246" s="15">
        <f t="shared" si="6"/>
        <v>0</v>
      </c>
    </row>
    <row r="247" ht="28.8" spans="1:10">
      <c r="A247" s="12" t="e">
        <f t="shared" si="7"/>
        <v>#REF!</v>
      </c>
      <c r="B247" s="12"/>
      <c r="C247" s="13" t="s">
        <v>893</v>
      </c>
      <c r="D247" s="14" t="s">
        <v>20</v>
      </c>
      <c r="E247" s="14" t="s">
        <v>624</v>
      </c>
      <c r="F247" s="13" t="s">
        <v>627</v>
      </c>
      <c r="G247" s="12" t="s">
        <v>23</v>
      </c>
      <c r="H247" s="15"/>
      <c r="I247" s="15"/>
      <c r="J247" s="15">
        <f t="shared" si="6"/>
        <v>0</v>
      </c>
    </row>
    <row r="248" ht="28.8" spans="1:10">
      <c r="A248" s="12" t="e">
        <f t="shared" si="7"/>
        <v>#REF!</v>
      </c>
      <c r="B248" s="12"/>
      <c r="C248" s="13" t="s">
        <v>893</v>
      </c>
      <c r="D248" s="14" t="s">
        <v>20</v>
      </c>
      <c r="E248" s="14" t="s">
        <v>624</v>
      </c>
      <c r="F248" s="13" t="s">
        <v>628</v>
      </c>
      <c r="G248" s="12" t="s">
        <v>23</v>
      </c>
      <c r="H248" s="15"/>
      <c r="I248" s="15"/>
      <c r="J248" s="15">
        <f t="shared" si="6"/>
        <v>0</v>
      </c>
    </row>
    <row r="249" ht="28.8" spans="1:10">
      <c r="A249" s="12" t="e">
        <f t="shared" si="7"/>
        <v>#REF!</v>
      </c>
      <c r="B249" s="12"/>
      <c r="C249" s="13" t="s">
        <v>893</v>
      </c>
      <c r="D249" s="14" t="s">
        <v>11</v>
      </c>
      <c r="E249" s="14" t="s">
        <v>630</v>
      </c>
      <c r="F249" s="13" t="s">
        <v>631</v>
      </c>
      <c r="G249" s="12" t="s">
        <v>17</v>
      </c>
      <c r="H249" s="15"/>
      <c r="I249" s="15"/>
      <c r="J249" s="15">
        <f t="shared" si="6"/>
        <v>0</v>
      </c>
    </row>
    <row r="250" ht="28.8" spans="1:10">
      <c r="A250" s="12" t="e">
        <f t="shared" si="7"/>
        <v>#REF!</v>
      </c>
      <c r="B250" s="12"/>
      <c r="C250" s="13" t="s">
        <v>895</v>
      </c>
      <c r="D250" s="14" t="s">
        <v>11</v>
      </c>
      <c r="E250" s="14" t="s">
        <v>634</v>
      </c>
      <c r="F250" s="13" t="s">
        <v>635</v>
      </c>
      <c r="G250" s="12" t="s">
        <v>23</v>
      </c>
      <c r="H250" s="15"/>
      <c r="I250" s="15"/>
      <c r="J250" s="15">
        <f t="shared" si="6"/>
        <v>0</v>
      </c>
    </row>
    <row r="251" ht="28.8" spans="1:10">
      <c r="A251" s="12" t="e">
        <f t="shared" si="7"/>
        <v>#REF!</v>
      </c>
      <c r="B251" s="12"/>
      <c r="C251" s="13" t="s">
        <v>895</v>
      </c>
      <c r="D251" s="14" t="s">
        <v>20</v>
      </c>
      <c r="E251" s="14" t="s">
        <v>636</v>
      </c>
      <c r="F251" s="13" t="s">
        <v>637</v>
      </c>
      <c r="G251" s="12" t="s">
        <v>23</v>
      </c>
      <c r="H251" s="15"/>
      <c r="I251" s="15"/>
      <c r="J251" s="15">
        <f t="shared" si="6"/>
        <v>0</v>
      </c>
    </row>
    <row r="252" ht="28.8" spans="1:10">
      <c r="A252" s="12" t="e">
        <f t="shared" si="7"/>
        <v>#REF!</v>
      </c>
      <c r="B252" s="12"/>
      <c r="C252" s="13" t="s">
        <v>897</v>
      </c>
      <c r="D252" s="14" t="s">
        <v>11</v>
      </c>
      <c r="E252" s="14" t="s">
        <v>634</v>
      </c>
      <c r="F252" s="13" t="s">
        <v>640</v>
      </c>
      <c r="G252" s="12" t="s">
        <v>23</v>
      </c>
      <c r="H252" s="15"/>
      <c r="I252" s="15"/>
      <c r="J252" s="15">
        <f t="shared" si="6"/>
        <v>0</v>
      </c>
    </row>
    <row r="253" ht="28.8" spans="1:10">
      <c r="A253" s="12" t="e">
        <f t="shared" si="7"/>
        <v>#REF!</v>
      </c>
      <c r="B253" s="12"/>
      <c r="C253" s="13" t="s">
        <v>897</v>
      </c>
      <c r="D253" s="14" t="s">
        <v>20</v>
      </c>
      <c r="E253" s="14" t="s">
        <v>636</v>
      </c>
      <c r="F253" s="13" t="s">
        <v>641</v>
      </c>
      <c r="G253" s="12" t="s">
        <v>23</v>
      </c>
      <c r="H253" s="15"/>
      <c r="I253" s="15"/>
      <c r="J253" s="15">
        <f t="shared" si="6"/>
        <v>0</v>
      </c>
    </row>
    <row r="254" ht="28.8" spans="1:10">
      <c r="A254" s="12" t="e">
        <f t="shared" si="7"/>
        <v>#REF!</v>
      </c>
      <c r="B254" s="12"/>
      <c r="C254" s="13" t="s">
        <v>899</v>
      </c>
      <c r="D254" s="14" t="s">
        <v>11</v>
      </c>
      <c r="E254" s="14" t="s">
        <v>634</v>
      </c>
      <c r="F254" s="13" t="s">
        <v>650</v>
      </c>
      <c r="G254" s="12" t="s">
        <v>23</v>
      </c>
      <c r="H254" s="15"/>
      <c r="I254" s="15"/>
      <c r="J254" s="15">
        <f t="shared" si="6"/>
        <v>0</v>
      </c>
    </row>
    <row r="255" ht="28.8" spans="1:10">
      <c r="A255" s="12" t="e">
        <f t="shared" si="7"/>
        <v>#REF!</v>
      </c>
      <c r="B255" s="12"/>
      <c r="C255" s="13" t="s">
        <v>899</v>
      </c>
      <c r="D255" s="14" t="s">
        <v>20</v>
      </c>
      <c r="E255" s="14" t="s">
        <v>636</v>
      </c>
      <c r="F255" s="13" t="s">
        <v>644</v>
      </c>
      <c r="G255" s="12" t="s">
        <v>23</v>
      </c>
      <c r="H255" s="15"/>
      <c r="I255" s="15"/>
      <c r="J255" s="15">
        <f t="shared" si="6"/>
        <v>0</v>
      </c>
    </row>
    <row r="256" ht="28.8" spans="1:10">
      <c r="A256" s="12" t="e">
        <f t="shared" si="7"/>
        <v>#REF!</v>
      </c>
      <c r="B256" s="12"/>
      <c r="C256" s="13" t="s">
        <v>901</v>
      </c>
      <c r="D256" s="14" t="s">
        <v>11</v>
      </c>
      <c r="E256" s="14" t="s">
        <v>634</v>
      </c>
      <c r="F256" s="13" t="s">
        <v>635</v>
      </c>
      <c r="G256" s="12" t="s">
        <v>23</v>
      </c>
      <c r="H256" s="15"/>
      <c r="I256" s="15"/>
      <c r="J256" s="15">
        <f t="shared" si="6"/>
        <v>0</v>
      </c>
    </row>
    <row r="257" ht="28.8" spans="1:10">
      <c r="A257" s="12" t="e">
        <f t="shared" si="7"/>
        <v>#REF!</v>
      </c>
      <c r="B257" s="12"/>
      <c r="C257" s="13" t="s">
        <v>901</v>
      </c>
      <c r="D257" s="14" t="s">
        <v>11</v>
      </c>
      <c r="E257" s="14" t="s">
        <v>634</v>
      </c>
      <c r="F257" s="13" t="s">
        <v>640</v>
      </c>
      <c r="G257" s="12" t="s">
        <v>23</v>
      </c>
      <c r="H257" s="15"/>
      <c r="I257" s="15"/>
      <c r="J257" s="15">
        <f t="shared" si="6"/>
        <v>0</v>
      </c>
    </row>
    <row r="258" ht="28.8" spans="1:10">
      <c r="A258" s="12" t="e">
        <f t="shared" si="7"/>
        <v>#REF!</v>
      </c>
      <c r="B258" s="12"/>
      <c r="C258" s="13" t="s">
        <v>901</v>
      </c>
      <c r="D258" s="14" t="s">
        <v>20</v>
      </c>
      <c r="E258" s="14" t="s">
        <v>636</v>
      </c>
      <c r="F258" s="13" t="s">
        <v>647</v>
      </c>
      <c r="G258" s="12" t="s">
        <v>23</v>
      </c>
      <c r="H258" s="15"/>
      <c r="I258" s="15"/>
      <c r="J258" s="15">
        <f t="shared" si="6"/>
        <v>0</v>
      </c>
    </row>
    <row r="259" ht="28.8" spans="1:10">
      <c r="A259" s="12" t="e">
        <f t="shared" si="7"/>
        <v>#REF!</v>
      </c>
      <c r="B259" s="12"/>
      <c r="C259" s="13" t="s">
        <v>903</v>
      </c>
      <c r="D259" s="14" t="s">
        <v>11</v>
      </c>
      <c r="E259" s="14" t="s">
        <v>634</v>
      </c>
      <c r="F259" s="13" t="s">
        <v>640</v>
      </c>
      <c r="G259" s="12" t="s">
        <v>23</v>
      </c>
      <c r="H259" s="15"/>
      <c r="I259" s="15"/>
      <c r="J259" s="15">
        <f t="shared" si="6"/>
        <v>0</v>
      </c>
    </row>
    <row r="260" ht="28.8" spans="1:10">
      <c r="A260" s="12" t="e">
        <f t="shared" si="7"/>
        <v>#REF!</v>
      </c>
      <c r="B260" s="12"/>
      <c r="C260" s="13" t="s">
        <v>903</v>
      </c>
      <c r="D260" s="14" t="s">
        <v>11</v>
      </c>
      <c r="E260" s="14" t="s">
        <v>634</v>
      </c>
      <c r="F260" s="13" t="s">
        <v>650</v>
      </c>
      <c r="G260" s="12" t="s">
        <v>23</v>
      </c>
      <c r="H260" s="15"/>
      <c r="I260" s="15"/>
      <c r="J260" s="15">
        <f t="shared" ref="J260:J323" si="8">+ROUND(PRODUCT(H260*I260),0)</f>
        <v>0</v>
      </c>
    </row>
    <row r="261" ht="28.8" spans="1:10">
      <c r="A261" s="12" t="e">
        <f t="shared" ref="A261:A324" si="9">1+A260</f>
        <v>#REF!</v>
      </c>
      <c r="B261" s="12"/>
      <c r="C261" s="13" t="s">
        <v>903</v>
      </c>
      <c r="D261" s="14" t="s">
        <v>20</v>
      </c>
      <c r="E261" s="14" t="s">
        <v>636</v>
      </c>
      <c r="F261" s="13" t="s">
        <v>651</v>
      </c>
      <c r="G261" s="12" t="s">
        <v>23</v>
      </c>
      <c r="H261" s="15"/>
      <c r="I261" s="15"/>
      <c r="J261" s="15">
        <f t="shared" si="8"/>
        <v>0</v>
      </c>
    </row>
    <row r="262" ht="28.8" spans="1:10">
      <c r="A262" s="12" t="e">
        <f t="shared" si="9"/>
        <v>#REF!</v>
      </c>
      <c r="B262" s="12"/>
      <c r="C262" s="13" t="s">
        <v>905</v>
      </c>
      <c r="D262" s="14" t="s">
        <v>11</v>
      </c>
      <c r="E262" s="14" t="s">
        <v>634</v>
      </c>
      <c r="F262" s="13" t="s">
        <v>635</v>
      </c>
      <c r="G262" s="12" t="s">
        <v>23</v>
      </c>
      <c r="H262" s="15"/>
      <c r="I262" s="15"/>
      <c r="J262" s="15">
        <f t="shared" si="8"/>
        <v>0</v>
      </c>
    </row>
    <row r="263" ht="28.8" spans="1:10">
      <c r="A263" s="12" t="e">
        <f t="shared" si="9"/>
        <v>#REF!</v>
      </c>
      <c r="B263" s="12"/>
      <c r="C263" s="13" t="s">
        <v>905</v>
      </c>
      <c r="D263" s="14" t="s">
        <v>11</v>
      </c>
      <c r="E263" s="14" t="s">
        <v>634</v>
      </c>
      <c r="F263" s="13" t="s">
        <v>650</v>
      </c>
      <c r="G263" s="12" t="s">
        <v>23</v>
      </c>
      <c r="H263" s="15"/>
      <c r="I263" s="15"/>
      <c r="J263" s="15">
        <f t="shared" si="8"/>
        <v>0</v>
      </c>
    </row>
    <row r="264" ht="28.8" spans="1:10">
      <c r="A264" s="12" t="e">
        <f t="shared" si="9"/>
        <v>#REF!</v>
      </c>
      <c r="B264" s="12"/>
      <c r="C264" s="13" t="s">
        <v>905</v>
      </c>
      <c r="D264" s="14" t="s">
        <v>20</v>
      </c>
      <c r="E264" s="14" t="s">
        <v>636</v>
      </c>
      <c r="F264" s="13" t="s">
        <v>654</v>
      </c>
      <c r="G264" s="12" t="s">
        <v>23</v>
      </c>
      <c r="H264" s="15"/>
      <c r="I264" s="15"/>
      <c r="J264" s="15">
        <f t="shared" si="8"/>
        <v>0</v>
      </c>
    </row>
    <row r="265" spans="1:10">
      <c r="A265" s="12" t="e">
        <f t="shared" si="9"/>
        <v>#REF!</v>
      </c>
      <c r="B265" s="12"/>
      <c r="C265" s="13" t="s">
        <v>907</v>
      </c>
      <c r="D265" s="14" t="s">
        <v>11</v>
      </c>
      <c r="E265" s="14" t="s">
        <v>665</v>
      </c>
      <c r="F265" s="13" t="s">
        <v>666</v>
      </c>
      <c r="G265" s="12" t="s">
        <v>34</v>
      </c>
      <c r="H265" s="15"/>
      <c r="I265" s="15"/>
      <c r="J265" s="15">
        <f t="shared" si="8"/>
        <v>0</v>
      </c>
    </row>
    <row r="266" spans="1:10">
      <c r="A266" s="12" t="e">
        <f t="shared" si="9"/>
        <v>#REF!</v>
      </c>
      <c r="B266" s="12"/>
      <c r="C266" s="13" t="s">
        <v>907</v>
      </c>
      <c r="D266" s="14" t="s">
        <v>11</v>
      </c>
      <c r="E266" s="14" t="s">
        <v>12</v>
      </c>
      <c r="F266" s="13" t="s">
        <v>13</v>
      </c>
      <c r="G266" s="12" t="s">
        <v>14</v>
      </c>
      <c r="H266" s="15"/>
      <c r="I266" s="15"/>
      <c r="J266" s="15">
        <f t="shared" si="8"/>
        <v>0</v>
      </c>
    </row>
    <row r="267" spans="1:10">
      <c r="A267" s="12" t="e">
        <f t="shared" si="9"/>
        <v>#REF!</v>
      </c>
      <c r="B267" s="12"/>
      <c r="C267" s="13" t="s">
        <v>907</v>
      </c>
      <c r="D267" s="14" t="s">
        <v>11</v>
      </c>
      <c r="E267" s="14" t="s">
        <v>12</v>
      </c>
      <c r="F267" s="13" t="s">
        <v>15</v>
      </c>
      <c r="G267" s="12" t="s">
        <v>14</v>
      </c>
      <c r="H267" s="15"/>
      <c r="I267" s="15"/>
      <c r="J267" s="15">
        <f t="shared" si="8"/>
        <v>0</v>
      </c>
    </row>
    <row r="268" spans="1:10">
      <c r="A268" s="12" t="e">
        <f t="shared" si="9"/>
        <v>#REF!</v>
      </c>
      <c r="B268" s="12"/>
      <c r="C268" s="13" t="s">
        <v>907</v>
      </c>
      <c r="D268" s="14" t="s">
        <v>11</v>
      </c>
      <c r="E268" s="14" t="s">
        <v>12</v>
      </c>
      <c r="F268" s="13" t="s">
        <v>28</v>
      </c>
      <c r="G268" s="12" t="s">
        <v>14</v>
      </c>
      <c r="H268" s="15"/>
      <c r="I268" s="15"/>
      <c r="J268" s="15">
        <f t="shared" si="8"/>
        <v>0</v>
      </c>
    </row>
    <row r="269" ht="28.8" spans="1:10">
      <c r="A269" s="12" t="e">
        <f t="shared" si="9"/>
        <v>#REF!</v>
      </c>
      <c r="B269" s="12"/>
      <c r="C269" s="13" t="s">
        <v>907</v>
      </c>
      <c r="D269" s="14" t="s">
        <v>20</v>
      </c>
      <c r="E269" s="14" t="s">
        <v>59</v>
      </c>
      <c r="F269" s="13" t="s">
        <v>667</v>
      </c>
      <c r="G269" s="12" t="s">
        <v>49</v>
      </c>
      <c r="H269" s="15"/>
      <c r="I269" s="15"/>
      <c r="J269" s="15">
        <f t="shared" si="8"/>
        <v>0</v>
      </c>
    </row>
    <row r="270" spans="1:10">
      <c r="A270" s="12" t="e">
        <f t="shared" si="9"/>
        <v>#REF!</v>
      </c>
      <c r="B270" s="12"/>
      <c r="C270" s="13" t="s">
        <v>907</v>
      </c>
      <c r="D270" s="14" t="s">
        <v>20</v>
      </c>
      <c r="E270" s="14" t="s">
        <v>59</v>
      </c>
      <c r="F270" s="13" t="s">
        <v>668</v>
      </c>
      <c r="G270" s="12" t="s">
        <v>49</v>
      </c>
      <c r="H270" s="15"/>
      <c r="I270" s="15"/>
      <c r="J270" s="15">
        <f t="shared" si="8"/>
        <v>0</v>
      </c>
    </row>
    <row r="271" spans="1:10">
      <c r="A271" s="12" t="e">
        <f t="shared" si="9"/>
        <v>#REF!</v>
      </c>
      <c r="B271" s="12"/>
      <c r="C271" s="13" t="s">
        <v>907</v>
      </c>
      <c r="D271" s="14" t="s">
        <v>20</v>
      </c>
      <c r="E271" s="14" t="s">
        <v>59</v>
      </c>
      <c r="F271" s="13" t="s">
        <v>60</v>
      </c>
      <c r="G271" s="12" t="s">
        <v>49</v>
      </c>
      <c r="H271" s="15"/>
      <c r="I271" s="15"/>
      <c r="J271" s="15">
        <f t="shared" si="8"/>
        <v>0</v>
      </c>
    </row>
    <row r="272" spans="1:10">
      <c r="A272" s="12" t="e">
        <f t="shared" si="9"/>
        <v>#REF!</v>
      </c>
      <c r="B272" s="12"/>
      <c r="C272" s="13" t="s">
        <v>907</v>
      </c>
      <c r="D272" s="14" t="s">
        <v>20</v>
      </c>
      <c r="E272" s="14" t="s">
        <v>106</v>
      </c>
      <c r="F272" s="13" t="s">
        <v>669</v>
      </c>
      <c r="G272" s="12" t="s">
        <v>108</v>
      </c>
      <c r="H272" s="15"/>
      <c r="I272" s="15"/>
      <c r="J272" s="15">
        <f t="shared" si="8"/>
        <v>0</v>
      </c>
    </row>
    <row r="273" spans="1:10">
      <c r="A273" s="12" t="e">
        <f t="shared" si="9"/>
        <v>#REF!</v>
      </c>
      <c r="B273" s="12"/>
      <c r="C273" s="13" t="s">
        <v>909</v>
      </c>
      <c r="D273" s="14" t="s">
        <v>11</v>
      </c>
      <c r="E273" s="14" t="s">
        <v>665</v>
      </c>
      <c r="F273" s="13" t="s">
        <v>666</v>
      </c>
      <c r="G273" s="12" t="s">
        <v>34</v>
      </c>
      <c r="H273" s="15"/>
      <c r="I273" s="15"/>
      <c r="J273" s="15">
        <f t="shared" si="8"/>
        <v>0</v>
      </c>
    </row>
    <row r="274" spans="1:10">
      <c r="A274" s="12" t="e">
        <f t="shared" si="9"/>
        <v>#REF!</v>
      </c>
      <c r="B274" s="12"/>
      <c r="C274" s="13" t="s">
        <v>909</v>
      </c>
      <c r="D274" s="14" t="s">
        <v>11</v>
      </c>
      <c r="E274" s="14" t="s">
        <v>12</v>
      </c>
      <c r="F274" s="13" t="s">
        <v>13</v>
      </c>
      <c r="G274" s="12" t="s">
        <v>14</v>
      </c>
      <c r="H274" s="15"/>
      <c r="I274" s="15"/>
      <c r="J274" s="15">
        <f t="shared" si="8"/>
        <v>0</v>
      </c>
    </row>
    <row r="275" spans="1:10">
      <c r="A275" s="12" t="e">
        <f t="shared" si="9"/>
        <v>#REF!</v>
      </c>
      <c r="B275" s="12"/>
      <c r="C275" s="13" t="s">
        <v>909</v>
      </c>
      <c r="D275" s="14" t="s">
        <v>11</v>
      </c>
      <c r="E275" s="14" t="s">
        <v>12</v>
      </c>
      <c r="F275" s="13" t="s">
        <v>15</v>
      </c>
      <c r="G275" s="12" t="s">
        <v>14</v>
      </c>
      <c r="H275" s="15"/>
      <c r="I275" s="15"/>
      <c r="J275" s="15">
        <f t="shared" si="8"/>
        <v>0</v>
      </c>
    </row>
    <row r="276" spans="1:10">
      <c r="A276" s="12" t="e">
        <f t="shared" si="9"/>
        <v>#REF!</v>
      </c>
      <c r="B276" s="12"/>
      <c r="C276" s="13" t="s">
        <v>909</v>
      </c>
      <c r="D276" s="14" t="s">
        <v>11</v>
      </c>
      <c r="E276" s="14" t="s">
        <v>12</v>
      </c>
      <c r="F276" s="13" t="s">
        <v>28</v>
      </c>
      <c r="G276" s="12" t="s">
        <v>14</v>
      </c>
      <c r="H276" s="15"/>
      <c r="I276" s="15"/>
      <c r="J276" s="15">
        <f t="shared" si="8"/>
        <v>0</v>
      </c>
    </row>
    <row r="277" ht="28.8" spans="1:10">
      <c r="A277" s="12" t="e">
        <f t="shared" si="9"/>
        <v>#REF!</v>
      </c>
      <c r="B277" s="12"/>
      <c r="C277" s="13" t="s">
        <v>909</v>
      </c>
      <c r="D277" s="14" t="s">
        <v>20</v>
      </c>
      <c r="E277" s="14" t="s">
        <v>59</v>
      </c>
      <c r="F277" s="13" t="s">
        <v>667</v>
      </c>
      <c r="G277" s="12" t="s">
        <v>49</v>
      </c>
      <c r="H277" s="15"/>
      <c r="I277" s="15"/>
      <c r="J277" s="15">
        <f t="shared" si="8"/>
        <v>0</v>
      </c>
    </row>
    <row r="278" spans="1:10">
      <c r="A278" s="12" t="e">
        <f t="shared" si="9"/>
        <v>#REF!</v>
      </c>
      <c r="B278" s="12"/>
      <c r="C278" s="13" t="s">
        <v>909</v>
      </c>
      <c r="D278" s="14" t="s">
        <v>20</v>
      </c>
      <c r="E278" s="14" t="s">
        <v>59</v>
      </c>
      <c r="F278" s="13" t="s">
        <v>668</v>
      </c>
      <c r="G278" s="12" t="s">
        <v>49</v>
      </c>
      <c r="H278" s="15"/>
      <c r="I278" s="15"/>
      <c r="J278" s="15">
        <f t="shared" si="8"/>
        <v>0</v>
      </c>
    </row>
    <row r="279" spans="1:10">
      <c r="A279" s="12" t="e">
        <f t="shared" si="9"/>
        <v>#REF!</v>
      </c>
      <c r="B279" s="12"/>
      <c r="C279" s="13" t="s">
        <v>909</v>
      </c>
      <c r="D279" s="14" t="s">
        <v>20</v>
      </c>
      <c r="E279" s="14" t="s">
        <v>59</v>
      </c>
      <c r="F279" s="13" t="s">
        <v>60</v>
      </c>
      <c r="G279" s="12" t="s">
        <v>49</v>
      </c>
      <c r="H279" s="15"/>
      <c r="I279" s="15"/>
      <c r="J279" s="15">
        <f t="shared" si="8"/>
        <v>0</v>
      </c>
    </row>
    <row r="280" spans="1:10">
      <c r="A280" s="12" t="e">
        <f t="shared" si="9"/>
        <v>#REF!</v>
      </c>
      <c r="B280" s="12"/>
      <c r="C280" s="13" t="s">
        <v>909</v>
      </c>
      <c r="D280" s="14" t="s">
        <v>20</v>
      </c>
      <c r="E280" s="14" t="s">
        <v>106</v>
      </c>
      <c r="F280" s="13" t="s">
        <v>672</v>
      </c>
      <c r="G280" s="12" t="s">
        <v>108</v>
      </c>
      <c r="H280" s="15"/>
      <c r="I280" s="15"/>
      <c r="J280" s="15">
        <f t="shared" si="8"/>
        <v>0</v>
      </c>
    </row>
    <row r="281" ht="28.8" spans="1:10">
      <c r="A281" s="12" t="e">
        <f t="shared" si="9"/>
        <v>#REF!</v>
      </c>
      <c r="B281" s="12"/>
      <c r="C281" s="13" t="s">
        <v>911</v>
      </c>
      <c r="D281" s="14" t="s">
        <v>11</v>
      </c>
      <c r="E281" s="14" t="s">
        <v>24</v>
      </c>
      <c r="F281" s="13" t="s">
        <v>604</v>
      </c>
      <c r="G281" s="12" t="s">
        <v>34</v>
      </c>
      <c r="H281" s="15"/>
      <c r="I281" s="15"/>
      <c r="J281" s="15">
        <f t="shared" si="8"/>
        <v>0</v>
      </c>
    </row>
    <row r="282" ht="28.8" spans="1:10">
      <c r="A282" s="12" t="e">
        <f t="shared" si="9"/>
        <v>#REF!</v>
      </c>
      <c r="B282" s="12"/>
      <c r="C282" s="13" t="s">
        <v>911</v>
      </c>
      <c r="D282" s="14" t="s">
        <v>11</v>
      </c>
      <c r="E282" s="14" t="s">
        <v>24</v>
      </c>
      <c r="F282" s="13" t="s">
        <v>605</v>
      </c>
      <c r="G282" s="12" t="s">
        <v>34</v>
      </c>
      <c r="H282" s="15"/>
      <c r="I282" s="15"/>
      <c r="J282" s="15">
        <f t="shared" si="8"/>
        <v>0</v>
      </c>
    </row>
    <row r="283" ht="28.8" spans="1:10">
      <c r="A283" s="12" t="e">
        <f t="shared" si="9"/>
        <v>#REF!</v>
      </c>
      <c r="B283" s="12"/>
      <c r="C283" s="13" t="s">
        <v>911</v>
      </c>
      <c r="D283" s="14" t="s">
        <v>11</v>
      </c>
      <c r="E283" s="14" t="s">
        <v>24</v>
      </c>
      <c r="F283" s="13" t="s">
        <v>606</v>
      </c>
      <c r="G283" s="12" t="s">
        <v>34</v>
      </c>
      <c r="H283" s="15"/>
      <c r="I283" s="15"/>
      <c r="J283" s="15">
        <f t="shared" si="8"/>
        <v>0</v>
      </c>
    </row>
    <row r="284" ht="28.8" spans="1:10">
      <c r="A284" s="12" t="e">
        <f t="shared" si="9"/>
        <v>#REF!</v>
      </c>
      <c r="B284" s="12"/>
      <c r="C284" s="13" t="s">
        <v>911</v>
      </c>
      <c r="D284" s="14" t="s">
        <v>20</v>
      </c>
      <c r="E284" s="14" t="s">
        <v>47</v>
      </c>
      <c r="F284" s="13" t="s">
        <v>50</v>
      </c>
      <c r="G284" s="12" t="s">
        <v>49</v>
      </c>
      <c r="H284" s="15"/>
      <c r="I284" s="15"/>
      <c r="J284" s="15">
        <f t="shared" si="8"/>
        <v>0</v>
      </c>
    </row>
    <row r="285" ht="28.8" spans="1:10">
      <c r="A285" s="12" t="e">
        <f t="shared" si="9"/>
        <v>#REF!</v>
      </c>
      <c r="B285" s="12"/>
      <c r="C285" s="13" t="s">
        <v>911</v>
      </c>
      <c r="D285" s="14" t="s">
        <v>20</v>
      </c>
      <c r="E285" s="14" t="s">
        <v>61</v>
      </c>
      <c r="F285" s="13" t="s">
        <v>78</v>
      </c>
      <c r="G285" s="12" t="s">
        <v>49</v>
      </c>
      <c r="H285" s="15"/>
      <c r="I285" s="15"/>
      <c r="J285" s="15">
        <f t="shared" si="8"/>
        <v>0</v>
      </c>
    </row>
    <row r="286" ht="28.8" spans="1:10">
      <c r="A286" s="12" t="e">
        <f t="shared" si="9"/>
        <v>#REF!</v>
      </c>
      <c r="B286" s="12"/>
      <c r="C286" s="13" t="s">
        <v>911</v>
      </c>
      <c r="D286" s="14" t="s">
        <v>20</v>
      </c>
      <c r="E286" s="14" t="s">
        <v>61</v>
      </c>
      <c r="F286" s="13" t="s">
        <v>607</v>
      </c>
      <c r="G286" s="12" t="s">
        <v>23</v>
      </c>
      <c r="H286" s="15"/>
      <c r="I286" s="15"/>
      <c r="J286" s="15">
        <f t="shared" si="8"/>
        <v>0</v>
      </c>
    </row>
    <row r="287" ht="28.8" spans="1:10">
      <c r="A287" s="12" t="e">
        <f t="shared" si="9"/>
        <v>#REF!</v>
      </c>
      <c r="B287" s="12"/>
      <c r="C287" s="13" t="s">
        <v>911</v>
      </c>
      <c r="D287" s="14" t="s">
        <v>20</v>
      </c>
      <c r="E287" s="14" t="s">
        <v>84</v>
      </c>
      <c r="F287" s="13" t="s">
        <v>86</v>
      </c>
      <c r="G287" s="12" t="s">
        <v>49</v>
      </c>
      <c r="H287" s="15"/>
      <c r="I287" s="15"/>
      <c r="J287" s="15">
        <f t="shared" si="8"/>
        <v>0</v>
      </c>
    </row>
    <row r="288" ht="28.8" spans="1:10">
      <c r="A288" s="12" t="e">
        <f t="shared" si="9"/>
        <v>#REF!</v>
      </c>
      <c r="B288" s="12"/>
      <c r="C288" s="13" t="s">
        <v>911</v>
      </c>
      <c r="D288" s="14" t="s">
        <v>20</v>
      </c>
      <c r="E288" s="14" t="s">
        <v>84</v>
      </c>
      <c r="F288" s="13" t="s">
        <v>88</v>
      </c>
      <c r="G288" s="12" t="s">
        <v>49</v>
      </c>
      <c r="H288" s="15"/>
      <c r="I288" s="15"/>
      <c r="J288" s="15">
        <f t="shared" si="8"/>
        <v>0</v>
      </c>
    </row>
    <row r="289" ht="28.8" spans="1:10">
      <c r="A289" s="12" t="e">
        <f t="shared" si="9"/>
        <v>#REF!</v>
      </c>
      <c r="B289" s="12"/>
      <c r="C289" s="13" t="s">
        <v>911</v>
      </c>
      <c r="D289" s="14" t="s">
        <v>20</v>
      </c>
      <c r="E289" s="14" t="s">
        <v>84</v>
      </c>
      <c r="F289" s="13" t="s">
        <v>89</v>
      </c>
      <c r="G289" s="12" t="s">
        <v>49</v>
      </c>
      <c r="H289" s="15"/>
      <c r="I289" s="15"/>
      <c r="J289" s="15">
        <f t="shared" si="8"/>
        <v>0</v>
      </c>
    </row>
    <row r="290" ht="28.8" spans="1:10">
      <c r="A290" s="12" t="e">
        <f t="shared" si="9"/>
        <v>#REF!</v>
      </c>
      <c r="B290" s="12"/>
      <c r="C290" s="13" t="s">
        <v>911</v>
      </c>
      <c r="D290" s="14" t="s">
        <v>20</v>
      </c>
      <c r="E290" s="14" t="s">
        <v>84</v>
      </c>
      <c r="F290" s="13" t="s">
        <v>608</v>
      </c>
      <c r="G290" s="12" t="s">
        <v>100</v>
      </c>
      <c r="H290" s="15"/>
      <c r="I290" s="15"/>
      <c r="J290" s="15">
        <f t="shared" si="8"/>
        <v>0</v>
      </c>
    </row>
    <row r="291" ht="28.8" spans="1:10">
      <c r="A291" s="12" t="e">
        <f t="shared" si="9"/>
        <v>#REF!</v>
      </c>
      <c r="B291" s="12"/>
      <c r="C291" s="13" t="s">
        <v>911</v>
      </c>
      <c r="D291" s="14" t="s">
        <v>20</v>
      </c>
      <c r="E291" s="14" t="s">
        <v>84</v>
      </c>
      <c r="F291" s="13" t="s">
        <v>609</v>
      </c>
      <c r="G291" s="12" t="s">
        <v>63</v>
      </c>
      <c r="H291" s="15"/>
      <c r="I291" s="15"/>
      <c r="J291" s="15">
        <f t="shared" si="8"/>
        <v>0</v>
      </c>
    </row>
    <row r="292" ht="28.8" spans="1:10">
      <c r="A292" s="12" t="e">
        <f t="shared" si="9"/>
        <v>#REF!</v>
      </c>
      <c r="B292" s="12"/>
      <c r="C292" s="13" t="s">
        <v>911</v>
      </c>
      <c r="D292" s="14" t="s">
        <v>20</v>
      </c>
      <c r="E292" s="14" t="s">
        <v>84</v>
      </c>
      <c r="F292" s="13" t="s">
        <v>610</v>
      </c>
      <c r="G292" s="12" t="s">
        <v>611</v>
      </c>
      <c r="H292" s="15"/>
      <c r="I292" s="15"/>
      <c r="J292" s="15">
        <f t="shared" si="8"/>
        <v>0</v>
      </c>
    </row>
    <row r="293" ht="28.8" spans="1:10">
      <c r="A293" s="12" t="e">
        <f t="shared" si="9"/>
        <v>#REF!</v>
      </c>
      <c r="B293" s="12"/>
      <c r="C293" s="13" t="s">
        <v>911</v>
      </c>
      <c r="D293" s="14" t="s">
        <v>20</v>
      </c>
      <c r="E293" s="14" t="s">
        <v>84</v>
      </c>
      <c r="F293" s="13" t="s">
        <v>612</v>
      </c>
      <c r="G293" s="12" t="s">
        <v>611</v>
      </c>
      <c r="H293" s="15"/>
      <c r="I293" s="15"/>
      <c r="J293" s="15">
        <f t="shared" si="8"/>
        <v>0</v>
      </c>
    </row>
    <row r="294" ht="28.8" spans="1:10">
      <c r="A294" s="12" t="e">
        <f t="shared" si="9"/>
        <v>#REF!</v>
      </c>
      <c r="B294" s="12"/>
      <c r="C294" s="13" t="s">
        <v>913</v>
      </c>
      <c r="D294" s="14" t="s">
        <v>20</v>
      </c>
      <c r="E294" s="14" t="s">
        <v>47</v>
      </c>
      <c r="F294" s="13" t="s">
        <v>48</v>
      </c>
      <c r="G294" s="12" t="s">
        <v>49</v>
      </c>
      <c r="H294" s="15"/>
      <c r="I294" s="15"/>
      <c r="J294" s="15">
        <f t="shared" si="8"/>
        <v>0</v>
      </c>
    </row>
    <row r="295" ht="28.8" spans="1:10">
      <c r="A295" s="12" t="e">
        <f t="shared" si="9"/>
        <v>#REF!</v>
      </c>
      <c r="B295" s="12"/>
      <c r="C295" s="13" t="s">
        <v>913</v>
      </c>
      <c r="D295" s="14" t="s">
        <v>20</v>
      </c>
      <c r="E295" s="14" t="s">
        <v>624</v>
      </c>
      <c r="F295" s="13" t="s">
        <v>625</v>
      </c>
      <c r="G295" s="12" t="s">
        <v>23</v>
      </c>
      <c r="H295" s="15"/>
      <c r="I295" s="15"/>
      <c r="J295" s="15">
        <f t="shared" si="8"/>
        <v>0</v>
      </c>
    </row>
    <row r="296" ht="28.8" spans="1:10">
      <c r="A296" s="12" t="e">
        <f t="shared" si="9"/>
        <v>#REF!</v>
      </c>
      <c r="B296" s="12"/>
      <c r="C296" s="13" t="s">
        <v>913</v>
      </c>
      <c r="D296" s="14" t="s">
        <v>20</v>
      </c>
      <c r="E296" s="14" t="s">
        <v>624</v>
      </c>
      <c r="F296" s="13" t="s">
        <v>626</v>
      </c>
      <c r="G296" s="12" t="s">
        <v>23</v>
      </c>
      <c r="H296" s="15"/>
      <c r="I296" s="15"/>
      <c r="J296" s="15">
        <f t="shared" si="8"/>
        <v>0</v>
      </c>
    </row>
    <row r="297" ht="28.8" spans="1:10">
      <c r="A297" s="12" t="e">
        <f t="shared" si="9"/>
        <v>#REF!</v>
      </c>
      <c r="B297" s="12"/>
      <c r="C297" s="13" t="s">
        <v>913</v>
      </c>
      <c r="D297" s="14" t="s">
        <v>20</v>
      </c>
      <c r="E297" s="14" t="s">
        <v>624</v>
      </c>
      <c r="F297" s="13" t="s">
        <v>627</v>
      </c>
      <c r="G297" s="12" t="s">
        <v>23</v>
      </c>
      <c r="H297" s="15"/>
      <c r="I297" s="15"/>
      <c r="J297" s="15">
        <f t="shared" si="8"/>
        <v>0</v>
      </c>
    </row>
    <row r="298" ht="28.8" spans="1:10">
      <c r="A298" s="12" t="e">
        <f t="shared" si="9"/>
        <v>#REF!</v>
      </c>
      <c r="B298" s="12"/>
      <c r="C298" s="13" t="s">
        <v>913</v>
      </c>
      <c r="D298" s="14" t="s">
        <v>20</v>
      </c>
      <c r="E298" s="14" t="s">
        <v>624</v>
      </c>
      <c r="F298" s="13" t="s">
        <v>628</v>
      </c>
      <c r="G298" s="12" t="s">
        <v>23</v>
      </c>
      <c r="H298" s="15"/>
      <c r="I298" s="15"/>
      <c r="J298" s="15">
        <f t="shared" si="8"/>
        <v>0</v>
      </c>
    </row>
    <row r="299" ht="28.8" spans="1:10">
      <c r="A299" s="12" t="e">
        <f t="shared" si="9"/>
        <v>#REF!</v>
      </c>
      <c r="B299" s="12"/>
      <c r="C299" s="13" t="s">
        <v>913</v>
      </c>
      <c r="D299" s="14" t="s">
        <v>20</v>
      </c>
      <c r="E299" s="14" t="s">
        <v>624</v>
      </c>
      <c r="F299" s="13" t="s">
        <v>629</v>
      </c>
      <c r="G299" s="12" t="s">
        <v>23</v>
      </c>
      <c r="H299" s="15"/>
      <c r="I299" s="15"/>
      <c r="J299" s="15">
        <f t="shared" si="8"/>
        <v>0</v>
      </c>
    </row>
    <row r="300" ht="28.8" spans="1:10">
      <c r="A300" s="12" t="e">
        <f t="shared" si="9"/>
        <v>#REF!</v>
      </c>
      <c r="B300" s="12"/>
      <c r="C300" s="13" t="s">
        <v>913</v>
      </c>
      <c r="D300" s="14" t="s">
        <v>11</v>
      </c>
      <c r="E300" s="14" t="s">
        <v>630</v>
      </c>
      <c r="F300" s="13" t="s">
        <v>631</v>
      </c>
      <c r="G300" s="12" t="s">
        <v>17</v>
      </c>
      <c r="H300" s="15"/>
      <c r="I300" s="15"/>
      <c r="J300" s="15">
        <f t="shared" si="8"/>
        <v>0</v>
      </c>
    </row>
    <row r="301" ht="28.8" spans="1:10">
      <c r="A301" s="12" t="e">
        <f t="shared" si="9"/>
        <v>#REF!</v>
      </c>
      <c r="B301" s="12"/>
      <c r="C301" s="13" t="s">
        <v>915</v>
      </c>
      <c r="D301" s="14" t="s">
        <v>11</v>
      </c>
      <c r="E301" s="14" t="s">
        <v>618</v>
      </c>
      <c r="F301" s="13" t="s">
        <v>619</v>
      </c>
      <c r="G301" s="12" t="s">
        <v>23</v>
      </c>
      <c r="H301" s="15"/>
      <c r="I301" s="15"/>
      <c r="J301" s="15">
        <f t="shared" si="8"/>
        <v>0</v>
      </c>
    </row>
    <row r="302" ht="28.8" spans="1:10">
      <c r="A302" s="12" t="e">
        <f t="shared" si="9"/>
        <v>#REF!</v>
      </c>
      <c r="B302" s="12"/>
      <c r="C302" s="13" t="s">
        <v>915</v>
      </c>
      <c r="D302" s="14" t="s">
        <v>11</v>
      </c>
      <c r="E302" s="14" t="s">
        <v>618</v>
      </c>
      <c r="F302" s="13" t="s">
        <v>620</v>
      </c>
      <c r="G302" s="12" t="s">
        <v>23</v>
      </c>
      <c r="H302" s="15"/>
      <c r="I302" s="15"/>
      <c r="J302" s="15">
        <f t="shared" si="8"/>
        <v>0</v>
      </c>
    </row>
    <row r="303" ht="28.8" spans="1:10">
      <c r="A303" s="12" t="e">
        <f t="shared" si="9"/>
        <v>#REF!</v>
      </c>
      <c r="B303" s="12"/>
      <c r="C303" s="13" t="s">
        <v>915</v>
      </c>
      <c r="D303" s="14" t="s">
        <v>11</v>
      </c>
      <c r="E303" s="14" t="s">
        <v>618</v>
      </c>
      <c r="F303" s="13" t="s">
        <v>621</v>
      </c>
      <c r="G303" s="12" t="s">
        <v>23</v>
      </c>
      <c r="H303" s="15"/>
      <c r="I303" s="15"/>
      <c r="J303" s="15">
        <f t="shared" si="8"/>
        <v>0</v>
      </c>
    </row>
    <row r="304" ht="28.8" spans="1:10">
      <c r="A304" s="12" t="e">
        <f t="shared" si="9"/>
        <v>#REF!</v>
      </c>
      <c r="B304" s="12"/>
      <c r="C304" s="13" t="s">
        <v>917</v>
      </c>
      <c r="D304" s="14" t="s">
        <v>11</v>
      </c>
      <c r="E304" s="14" t="s">
        <v>12</v>
      </c>
      <c r="F304" s="13" t="s">
        <v>13</v>
      </c>
      <c r="G304" s="12" t="s">
        <v>14</v>
      </c>
      <c r="H304" s="15"/>
      <c r="I304" s="15"/>
      <c r="J304" s="15">
        <f t="shared" si="8"/>
        <v>0</v>
      </c>
    </row>
    <row r="305" ht="28.8" spans="1:10">
      <c r="A305" s="12" t="e">
        <f t="shared" si="9"/>
        <v>#REF!</v>
      </c>
      <c r="B305" s="12"/>
      <c r="C305" s="13" t="s">
        <v>917</v>
      </c>
      <c r="D305" s="14" t="s">
        <v>20</v>
      </c>
      <c r="E305" s="14" t="s">
        <v>576</v>
      </c>
      <c r="F305" s="13" t="s">
        <v>918</v>
      </c>
      <c r="G305" s="12" t="s">
        <v>100</v>
      </c>
      <c r="H305" s="15"/>
      <c r="I305" s="15"/>
      <c r="J305" s="15">
        <f t="shared" si="8"/>
        <v>0</v>
      </c>
    </row>
    <row r="306" ht="28.8" spans="1:10">
      <c r="A306" s="12" t="e">
        <f t="shared" si="9"/>
        <v>#REF!</v>
      </c>
      <c r="B306" s="12"/>
      <c r="C306" s="13" t="s">
        <v>917</v>
      </c>
      <c r="D306" s="14" t="s">
        <v>20</v>
      </c>
      <c r="E306" s="14" t="s">
        <v>104</v>
      </c>
      <c r="F306" s="13" t="s">
        <v>919</v>
      </c>
      <c r="G306" s="12" t="s">
        <v>49</v>
      </c>
      <c r="H306" s="15"/>
      <c r="I306" s="15"/>
      <c r="J306" s="15">
        <f t="shared" si="8"/>
        <v>0</v>
      </c>
    </row>
    <row r="307" ht="28.8" spans="1:10">
      <c r="A307" s="12" t="e">
        <f t="shared" si="9"/>
        <v>#REF!</v>
      </c>
      <c r="B307" s="12"/>
      <c r="C307" s="13" t="s">
        <v>917</v>
      </c>
      <c r="D307" s="14" t="s">
        <v>20</v>
      </c>
      <c r="E307" s="14" t="s">
        <v>112</v>
      </c>
      <c r="F307" s="13" t="s">
        <v>113</v>
      </c>
      <c r="G307" s="12" t="s">
        <v>46</v>
      </c>
      <c r="H307" s="15"/>
      <c r="I307" s="15"/>
      <c r="J307" s="15">
        <f t="shared" si="8"/>
        <v>0</v>
      </c>
    </row>
    <row r="308" spans="1:10">
      <c r="A308" s="12" t="e">
        <f t="shared" si="9"/>
        <v>#REF!</v>
      </c>
      <c r="B308" s="12"/>
      <c r="C308" s="13" t="s">
        <v>921</v>
      </c>
      <c r="D308" s="14" t="s">
        <v>20</v>
      </c>
      <c r="E308" s="14" t="s">
        <v>102</v>
      </c>
      <c r="F308" s="13" t="s">
        <v>103</v>
      </c>
      <c r="G308" s="12" t="s">
        <v>46</v>
      </c>
      <c r="H308" s="15"/>
      <c r="I308" s="15"/>
      <c r="J308" s="15">
        <f t="shared" si="8"/>
        <v>0</v>
      </c>
    </row>
    <row r="309" spans="1:10">
      <c r="A309" s="12" t="e">
        <f t="shared" si="9"/>
        <v>#REF!</v>
      </c>
      <c r="B309" s="12"/>
      <c r="C309" s="13" t="s">
        <v>921</v>
      </c>
      <c r="D309" s="14" t="s">
        <v>20</v>
      </c>
      <c r="E309" s="14" t="s">
        <v>596</v>
      </c>
      <c r="F309" s="13" t="s">
        <v>597</v>
      </c>
      <c r="G309" s="12" t="s">
        <v>46</v>
      </c>
      <c r="H309" s="15"/>
      <c r="I309" s="15"/>
      <c r="J309" s="15">
        <f t="shared" si="8"/>
        <v>0</v>
      </c>
    </row>
    <row r="310" spans="1:10">
      <c r="A310" s="12" t="e">
        <f t="shared" si="9"/>
        <v>#REF!</v>
      </c>
      <c r="B310" s="12"/>
      <c r="C310" s="13" t="s">
        <v>921</v>
      </c>
      <c r="D310" s="14" t="s">
        <v>11</v>
      </c>
      <c r="E310" s="14" t="s">
        <v>598</v>
      </c>
      <c r="F310" s="13" t="s">
        <v>599</v>
      </c>
      <c r="G310" s="12" t="s">
        <v>34</v>
      </c>
      <c r="H310" s="15"/>
      <c r="I310" s="15"/>
      <c r="J310" s="15">
        <f t="shared" si="8"/>
        <v>0</v>
      </c>
    </row>
    <row r="311" spans="1:10">
      <c r="A311" s="12" t="e">
        <f t="shared" si="9"/>
        <v>#REF!</v>
      </c>
      <c r="B311" s="12"/>
      <c r="C311" s="13" t="s">
        <v>921</v>
      </c>
      <c r="D311" s="14" t="s">
        <v>20</v>
      </c>
      <c r="E311" s="14" t="s">
        <v>600</v>
      </c>
      <c r="F311" s="13" t="s">
        <v>601</v>
      </c>
      <c r="G311" s="12" t="s">
        <v>63</v>
      </c>
      <c r="H311" s="15"/>
      <c r="I311" s="15"/>
      <c r="J311" s="15">
        <f t="shared" si="8"/>
        <v>0</v>
      </c>
    </row>
    <row r="312" ht="28.8" spans="1:10">
      <c r="A312" s="12" t="e">
        <f t="shared" si="9"/>
        <v>#REF!</v>
      </c>
      <c r="B312" s="12"/>
      <c r="C312" s="13" t="s">
        <v>923</v>
      </c>
      <c r="D312" s="14" t="s">
        <v>11</v>
      </c>
      <c r="E312" s="14" t="s">
        <v>24</v>
      </c>
      <c r="F312" s="13" t="s">
        <v>604</v>
      </c>
      <c r="G312" s="12" t="s">
        <v>34</v>
      </c>
      <c r="H312" s="15"/>
      <c r="I312" s="15"/>
      <c r="J312" s="15">
        <f t="shared" si="8"/>
        <v>0</v>
      </c>
    </row>
    <row r="313" ht="28.8" spans="1:10">
      <c r="A313" s="12" t="e">
        <f t="shared" si="9"/>
        <v>#REF!</v>
      </c>
      <c r="B313" s="12"/>
      <c r="C313" s="13" t="s">
        <v>923</v>
      </c>
      <c r="D313" s="14" t="s">
        <v>11</v>
      </c>
      <c r="E313" s="14" t="s">
        <v>24</v>
      </c>
      <c r="F313" s="13" t="s">
        <v>605</v>
      </c>
      <c r="G313" s="12" t="s">
        <v>34</v>
      </c>
      <c r="H313" s="15"/>
      <c r="I313" s="15"/>
      <c r="J313" s="15">
        <f t="shared" si="8"/>
        <v>0</v>
      </c>
    </row>
    <row r="314" ht="28.8" spans="1:10">
      <c r="A314" s="12" t="e">
        <f t="shared" si="9"/>
        <v>#REF!</v>
      </c>
      <c r="B314" s="12"/>
      <c r="C314" s="13" t="s">
        <v>923</v>
      </c>
      <c r="D314" s="14" t="s">
        <v>11</v>
      </c>
      <c r="E314" s="14" t="s">
        <v>24</v>
      </c>
      <c r="F314" s="13" t="s">
        <v>606</v>
      </c>
      <c r="G314" s="12" t="s">
        <v>34</v>
      </c>
      <c r="H314" s="15"/>
      <c r="I314" s="15"/>
      <c r="J314" s="15">
        <f t="shared" si="8"/>
        <v>0</v>
      </c>
    </row>
    <row r="315" ht="28.8" spans="1:10">
      <c r="A315" s="12" t="e">
        <f t="shared" si="9"/>
        <v>#REF!</v>
      </c>
      <c r="B315" s="12"/>
      <c r="C315" s="13" t="s">
        <v>923</v>
      </c>
      <c r="D315" s="14" t="s">
        <v>20</v>
      </c>
      <c r="E315" s="14" t="s">
        <v>47</v>
      </c>
      <c r="F315" s="13" t="s">
        <v>50</v>
      </c>
      <c r="G315" s="12" t="s">
        <v>49</v>
      </c>
      <c r="H315" s="15"/>
      <c r="I315" s="15"/>
      <c r="J315" s="15">
        <f t="shared" si="8"/>
        <v>0</v>
      </c>
    </row>
    <row r="316" ht="28.8" spans="1:10">
      <c r="A316" s="12" t="e">
        <f t="shared" si="9"/>
        <v>#REF!</v>
      </c>
      <c r="B316" s="12"/>
      <c r="C316" s="13" t="s">
        <v>923</v>
      </c>
      <c r="D316" s="14" t="s">
        <v>20</v>
      </c>
      <c r="E316" s="14" t="s">
        <v>61</v>
      </c>
      <c r="F316" s="13" t="s">
        <v>78</v>
      </c>
      <c r="G316" s="12" t="s">
        <v>49</v>
      </c>
      <c r="H316" s="15"/>
      <c r="I316" s="15"/>
      <c r="J316" s="15">
        <f t="shared" si="8"/>
        <v>0</v>
      </c>
    </row>
    <row r="317" ht="28.8" spans="1:10">
      <c r="A317" s="12" t="e">
        <f t="shared" si="9"/>
        <v>#REF!</v>
      </c>
      <c r="B317" s="12"/>
      <c r="C317" s="13" t="s">
        <v>923</v>
      </c>
      <c r="D317" s="14" t="s">
        <v>20</v>
      </c>
      <c r="E317" s="14" t="s">
        <v>61</v>
      </c>
      <c r="F317" s="13" t="s">
        <v>607</v>
      </c>
      <c r="G317" s="12" t="s">
        <v>23</v>
      </c>
      <c r="H317" s="15"/>
      <c r="I317" s="15"/>
      <c r="J317" s="15">
        <f t="shared" si="8"/>
        <v>0</v>
      </c>
    </row>
    <row r="318" ht="28.8" spans="1:10">
      <c r="A318" s="12" t="e">
        <f t="shared" si="9"/>
        <v>#REF!</v>
      </c>
      <c r="B318" s="12"/>
      <c r="C318" s="13" t="s">
        <v>923</v>
      </c>
      <c r="D318" s="14" t="s">
        <v>20</v>
      </c>
      <c r="E318" s="14" t="s">
        <v>84</v>
      </c>
      <c r="F318" s="13" t="s">
        <v>86</v>
      </c>
      <c r="G318" s="12" t="s">
        <v>49</v>
      </c>
      <c r="H318" s="15"/>
      <c r="I318" s="15"/>
      <c r="J318" s="15">
        <f t="shared" si="8"/>
        <v>0</v>
      </c>
    </row>
    <row r="319" ht="28.8" spans="1:10">
      <c r="A319" s="12" t="e">
        <f t="shared" si="9"/>
        <v>#REF!</v>
      </c>
      <c r="B319" s="12"/>
      <c r="C319" s="13" t="s">
        <v>923</v>
      </c>
      <c r="D319" s="14" t="s">
        <v>20</v>
      </c>
      <c r="E319" s="14" t="s">
        <v>84</v>
      </c>
      <c r="F319" s="13" t="s">
        <v>88</v>
      </c>
      <c r="G319" s="12" t="s">
        <v>49</v>
      </c>
      <c r="H319" s="15"/>
      <c r="I319" s="15"/>
      <c r="J319" s="15">
        <f t="shared" si="8"/>
        <v>0</v>
      </c>
    </row>
    <row r="320" ht="28.8" spans="1:10">
      <c r="A320" s="12" t="e">
        <f t="shared" si="9"/>
        <v>#REF!</v>
      </c>
      <c r="B320" s="12"/>
      <c r="C320" s="13" t="s">
        <v>923</v>
      </c>
      <c r="D320" s="14" t="s">
        <v>20</v>
      </c>
      <c r="E320" s="14" t="s">
        <v>84</v>
      </c>
      <c r="F320" s="13" t="s">
        <v>89</v>
      </c>
      <c r="G320" s="12" t="s">
        <v>49</v>
      </c>
      <c r="H320" s="15"/>
      <c r="I320" s="15"/>
      <c r="J320" s="15">
        <f t="shared" si="8"/>
        <v>0</v>
      </c>
    </row>
    <row r="321" ht="28.8" spans="1:10">
      <c r="A321" s="12" t="e">
        <f t="shared" si="9"/>
        <v>#REF!</v>
      </c>
      <c r="B321" s="12"/>
      <c r="C321" s="13" t="s">
        <v>923</v>
      </c>
      <c r="D321" s="14" t="s">
        <v>20</v>
      </c>
      <c r="E321" s="14" t="s">
        <v>84</v>
      </c>
      <c r="F321" s="13" t="s">
        <v>608</v>
      </c>
      <c r="G321" s="12" t="s">
        <v>100</v>
      </c>
      <c r="H321" s="15"/>
      <c r="I321" s="15"/>
      <c r="J321" s="15">
        <f t="shared" si="8"/>
        <v>0</v>
      </c>
    </row>
    <row r="322" ht="28.8" spans="1:10">
      <c r="A322" s="12" t="e">
        <f t="shared" si="9"/>
        <v>#REF!</v>
      </c>
      <c r="B322" s="12"/>
      <c r="C322" s="13" t="s">
        <v>923</v>
      </c>
      <c r="D322" s="14" t="s">
        <v>20</v>
      </c>
      <c r="E322" s="14" t="s">
        <v>84</v>
      </c>
      <c r="F322" s="13" t="s">
        <v>609</v>
      </c>
      <c r="G322" s="12" t="s">
        <v>63</v>
      </c>
      <c r="H322" s="15"/>
      <c r="I322" s="15"/>
      <c r="J322" s="15">
        <f t="shared" si="8"/>
        <v>0</v>
      </c>
    </row>
    <row r="323" ht="28.8" spans="1:10">
      <c r="A323" s="12" t="e">
        <f t="shared" si="9"/>
        <v>#REF!</v>
      </c>
      <c r="B323" s="12"/>
      <c r="C323" s="13" t="s">
        <v>923</v>
      </c>
      <c r="D323" s="14" t="s">
        <v>20</v>
      </c>
      <c r="E323" s="14" t="s">
        <v>84</v>
      </c>
      <c r="F323" s="13" t="s">
        <v>683</v>
      </c>
      <c r="G323" s="12" t="s">
        <v>611</v>
      </c>
      <c r="H323" s="15"/>
      <c r="I323" s="15"/>
      <c r="J323" s="15">
        <f t="shared" si="8"/>
        <v>0</v>
      </c>
    </row>
    <row r="324" ht="28.8" spans="1:10">
      <c r="A324" s="12" t="e">
        <f t="shared" si="9"/>
        <v>#REF!</v>
      </c>
      <c r="B324" s="12"/>
      <c r="C324" s="13" t="s">
        <v>923</v>
      </c>
      <c r="D324" s="14" t="s">
        <v>20</v>
      </c>
      <c r="E324" s="14" t="s">
        <v>84</v>
      </c>
      <c r="F324" s="13" t="s">
        <v>610</v>
      </c>
      <c r="G324" s="12" t="s">
        <v>611</v>
      </c>
      <c r="H324" s="15"/>
      <c r="I324" s="15"/>
      <c r="J324" s="15">
        <f t="shared" ref="J324:J387" si="10">+ROUND(PRODUCT(H324*I324),0)</f>
        <v>0</v>
      </c>
    </row>
    <row r="325" ht="28.8" spans="1:10">
      <c r="A325" s="12" t="e">
        <f t="shared" ref="A325:A388" si="11">1+A324</f>
        <v>#REF!</v>
      </c>
      <c r="B325" s="12"/>
      <c r="C325" s="13" t="s">
        <v>923</v>
      </c>
      <c r="D325" s="14" t="s">
        <v>20</v>
      </c>
      <c r="E325" s="14" t="s">
        <v>84</v>
      </c>
      <c r="F325" s="13" t="s">
        <v>612</v>
      </c>
      <c r="G325" s="12" t="s">
        <v>611</v>
      </c>
      <c r="H325" s="15"/>
      <c r="I325" s="15"/>
      <c r="J325" s="15">
        <f t="shared" si="10"/>
        <v>0</v>
      </c>
    </row>
    <row r="326" ht="28.8" spans="1:10">
      <c r="A326" s="12" t="e">
        <f t="shared" si="11"/>
        <v>#REF!</v>
      </c>
      <c r="B326" s="12"/>
      <c r="C326" s="13" t="s">
        <v>923</v>
      </c>
      <c r="D326" s="14" t="s">
        <v>20</v>
      </c>
      <c r="E326" s="14" t="s">
        <v>84</v>
      </c>
      <c r="F326" s="13" t="s">
        <v>684</v>
      </c>
      <c r="G326" s="12" t="s">
        <v>23</v>
      </c>
      <c r="H326" s="15"/>
      <c r="I326" s="15"/>
      <c r="J326" s="15">
        <f t="shared" si="10"/>
        <v>0</v>
      </c>
    </row>
    <row r="327" ht="28.8" spans="1:10">
      <c r="A327" s="12" t="e">
        <f t="shared" si="11"/>
        <v>#REF!</v>
      </c>
      <c r="B327" s="12"/>
      <c r="C327" s="13" t="s">
        <v>923</v>
      </c>
      <c r="D327" s="14" t="s">
        <v>11</v>
      </c>
      <c r="E327" s="14" t="s">
        <v>613</v>
      </c>
      <c r="F327" s="13" t="s">
        <v>614</v>
      </c>
      <c r="G327" s="12" t="s">
        <v>108</v>
      </c>
      <c r="H327" s="15"/>
      <c r="I327" s="15"/>
      <c r="J327" s="15">
        <f t="shared" si="10"/>
        <v>0</v>
      </c>
    </row>
    <row r="328" ht="28.8" spans="1:10">
      <c r="A328" s="12" t="e">
        <f t="shared" si="11"/>
        <v>#REF!</v>
      </c>
      <c r="B328" s="12"/>
      <c r="C328" s="13" t="s">
        <v>923</v>
      </c>
      <c r="D328" s="14" t="s">
        <v>11</v>
      </c>
      <c r="E328" s="14" t="s">
        <v>613</v>
      </c>
      <c r="F328" s="13" t="s">
        <v>615</v>
      </c>
      <c r="G328" s="12" t="s">
        <v>108</v>
      </c>
      <c r="H328" s="15"/>
      <c r="I328" s="15"/>
      <c r="J328" s="15">
        <f t="shared" si="10"/>
        <v>0</v>
      </c>
    </row>
    <row r="329" ht="28.8" spans="1:10">
      <c r="A329" s="12" t="e">
        <f t="shared" si="11"/>
        <v>#REF!</v>
      </c>
      <c r="B329" s="12"/>
      <c r="C329" s="13" t="s">
        <v>925</v>
      </c>
      <c r="D329" s="14" t="s">
        <v>20</v>
      </c>
      <c r="E329" s="14" t="s">
        <v>47</v>
      </c>
      <c r="F329" s="13" t="s">
        <v>48</v>
      </c>
      <c r="G329" s="12" t="s">
        <v>49</v>
      </c>
      <c r="H329" s="15"/>
      <c r="I329" s="15"/>
      <c r="J329" s="15">
        <f t="shared" si="10"/>
        <v>0</v>
      </c>
    </row>
    <row r="330" ht="28.8" spans="1:10">
      <c r="A330" s="12" t="e">
        <f t="shared" si="11"/>
        <v>#REF!</v>
      </c>
      <c r="B330" s="12"/>
      <c r="C330" s="13" t="s">
        <v>925</v>
      </c>
      <c r="D330" s="14" t="s">
        <v>20</v>
      </c>
      <c r="E330" s="14" t="s">
        <v>624</v>
      </c>
      <c r="F330" s="13" t="s">
        <v>625</v>
      </c>
      <c r="G330" s="12" t="s">
        <v>23</v>
      </c>
      <c r="H330" s="15"/>
      <c r="I330" s="15"/>
      <c r="J330" s="15">
        <f t="shared" si="10"/>
        <v>0</v>
      </c>
    </row>
    <row r="331" ht="28.8" spans="1:10">
      <c r="A331" s="12" t="e">
        <f t="shared" si="11"/>
        <v>#REF!</v>
      </c>
      <c r="B331" s="12"/>
      <c r="C331" s="13" t="s">
        <v>925</v>
      </c>
      <c r="D331" s="14" t="s">
        <v>20</v>
      </c>
      <c r="E331" s="14" t="s">
        <v>624</v>
      </c>
      <c r="F331" s="13" t="s">
        <v>626</v>
      </c>
      <c r="G331" s="12" t="s">
        <v>23</v>
      </c>
      <c r="H331" s="15"/>
      <c r="I331" s="15"/>
      <c r="J331" s="15">
        <f t="shared" si="10"/>
        <v>0</v>
      </c>
    </row>
    <row r="332" ht="28.8" spans="1:10">
      <c r="A332" s="12" t="e">
        <f t="shared" si="11"/>
        <v>#REF!</v>
      </c>
      <c r="B332" s="12"/>
      <c r="C332" s="13" t="s">
        <v>925</v>
      </c>
      <c r="D332" s="14" t="s">
        <v>20</v>
      </c>
      <c r="E332" s="14" t="s">
        <v>624</v>
      </c>
      <c r="F332" s="13" t="s">
        <v>627</v>
      </c>
      <c r="G332" s="12" t="s">
        <v>23</v>
      </c>
      <c r="H332" s="15"/>
      <c r="I332" s="15"/>
      <c r="J332" s="15">
        <f t="shared" si="10"/>
        <v>0</v>
      </c>
    </row>
    <row r="333" ht="28.8" spans="1:10">
      <c r="A333" s="12" t="e">
        <f t="shared" si="11"/>
        <v>#REF!</v>
      </c>
      <c r="B333" s="12"/>
      <c r="C333" s="13" t="s">
        <v>925</v>
      </c>
      <c r="D333" s="14" t="s">
        <v>20</v>
      </c>
      <c r="E333" s="14" t="s">
        <v>624</v>
      </c>
      <c r="F333" s="13" t="s">
        <v>628</v>
      </c>
      <c r="G333" s="12" t="s">
        <v>23</v>
      </c>
      <c r="H333" s="15"/>
      <c r="I333" s="15"/>
      <c r="J333" s="15">
        <f t="shared" si="10"/>
        <v>0</v>
      </c>
    </row>
    <row r="334" ht="28.8" spans="1:10">
      <c r="A334" s="12" t="e">
        <f t="shared" si="11"/>
        <v>#REF!</v>
      </c>
      <c r="B334" s="12"/>
      <c r="C334" s="13" t="s">
        <v>925</v>
      </c>
      <c r="D334" s="14" t="s">
        <v>20</v>
      </c>
      <c r="E334" s="14" t="s">
        <v>624</v>
      </c>
      <c r="F334" s="13" t="s">
        <v>629</v>
      </c>
      <c r="G334" s="12" t="s">
        <v>23</v>
      </c>
      <c r="H334" s="15"/>
      <c r="I334" s="15"/>
      <c r="J334" s="15">
        <f t="shared" si="10"/>
        <v>0</v>
      </c>
    </row>
    <row r="335" ht="28.8" spans="1:10">
      <c r="A335" s="12" t="e">
        <f t="shared" si="11"/>
        <v>#REF!</v>
      </c>
      <c r="B335" s="12"/>
      <c r="C335" s="13" t="s">
        <v>925</v>
      </c>
      <c r="D335" s="14" t="s">
        <v>11</v>
      </c>
      <c r="E335" s="14" t="s">
        <v>630</v>
      </c>
      <c r="F335" s="13" t="s">
        <v>631</v>
      </c>
      <c r="G335" s="12" t="s">
        <v>17</v>
      </c>
      <c r="H335" s="15"/>
      <c r="I335" s="15"/>
      <c r="J335" s="15">
        <f t="shared" si="10"/>
        <v>0</v>
      </c>
    </row>
    <row r="336" ht="28.8" spans="1:10">
      <c r="A336" s="12" t="e">
        <f t="shared" si="11"/>
        <v>#REF!</v>
      </c>
      <c r="B336" s="12"/>
      <c r="C336" s="13" t="s">
        <v>927</v>
      </c>
      <c r="D336" s="14" t="s">
        <v>11</v>
      </c>
      <c r="E336" s="14" t="s">
        <v>634</v>
      </c>
      <c r="F336" s="13" t="s">
        <v>635</v>
      </c>
      <c r="G336" s="12" t="s">
        <v>23</v>
      </c>
      <c r="H336" s="15"/>
      <c r="I336" s="15"/>
      <c r="J336" s="15">
        <f t="shared" si="10"/>
        <v>0</v>
      </c>
    </row>
    <row r="337" ht="28.8" spans="1:10">
      <c r="A337" s="12" t="e">
        <f t="shared" si="11"/>
        <v>#REF!</v>
      </c>
      <c r="B337" s="12"/>
      <c r="C337" s="13" t="s">
        <v>927</v>
      </c>
      <c r="D337" s="14" t="s">
        <v>20</v>
      </c>
      <c r="E337" s="14" t="s">
        <v>636</v>
      </c>
      <c r="F337" s="13" t="s">
        <v>637</v>
      </c>
      <c r="G337" s="12" t="s">
        <v>23</v>
      </c>
      <c r="H337" s="15"/>
      <c r="I337" s="15"/>
      <c r="J337" s="15">
        <f t="shared" si="10"/>
        <v>0</v>
      </c>
    </row>
    <row r="338" ht="28.8" spans="1:10">
      <c r="A338" s="12" t="e">
        <f t="shared" si="11"/>
        <v>#REF!</v>
      </c>
      <c r="B338" s="12"/>
      <c r="C338" s="13" t="s">
        <v>929</v>
      </c>
      <c r="D338" s="14" t="s">
        <v>11</v>
      </c>
      <c r="E338" s="14" t="s">
        <v>634</v>
      </c>
      <c r="F338" s="13" t="s">
        <v>640</v>
      </c>
      <c r="G338" s="12" t="s">
        <v>23</v>
      </c>
      <c r="H338" s="15"/>
      <c r="I338" s="15"/>
      <c r="J338" s="15">
        <f t="shared" si="10"/>
        <v>0</v>
      </c>
    </row>
    <row r="339" ht="28.8" spans="1:10">
      <c r="A339" s="12" t="e">
        <f t="shared" si="11"/>
        <v>#REF!</v>
      </c>
      <c r="B339" s="12"/>
      <c r="C339" s="13" t="s">
        <v>929</v>
      </c>
      <c r="D339" s="14" t="s">
        <v>20</v>
      </c>
      <c r="E339" s="14" t="s">
        <v>636</v>
      </c>
      <c r="F339" s="13" t="s">
        <v>641</v>
      </c>
      <c r="G339" s="12" t="s">
        <v>23</v>
      </c>
      <c r="H339" s="15"/>
      <c r="I339" s="15"/>
      <c r="J339" s="15">
        <f t="shared" si="10"/>
        <v>0</v>
      </c>
    </row>
    <row r="340" ht="28.8" spans="1:10">
      <c r="A340" s="12" t="e">
        <f t="shared" si="11"/>
        <v>#REF!</v>
      </c>
      <c r="B340" s="12"/>
      <c r="C340" s="13" t="s">
        <v>931</v>
      </c>
      <c r="D340" s="14" t="s">
        <v>11</v>
      </c>
      <c r="E340" s="14" t="s">
        <v>634</v>
      </c>
      <c r="F340" s="13" t="s">
        <v>650</v>
      </c>
      <c r="G340" s="12" t="s">
        <v>23</v>
      </c>
      <c r="H340" s="15"/>
      <c r="I340" s="15"/>
      <c r="J340" s="15">
        <f t="shared" si="10"/>
        <v>0</v>
      </c>
    </row>
    <row r="341" ht="28.8" spans="1:10">
      <c r="A341" s="12" t="e">
        <f t="shared" si="11"/>
        <v>#REF!</v>
      </c>
      <c r="B341" s="12"/>
      <c r="C341" s="13" t="s">
        <v>931</v>
      </c>
      <c r="D341" s="14" t="s">
        <v>20</v>
      </c>
      <c r="E341" s="14" t="s">
        <v>636</v>
      </c>
      <c r="F341" s="13" t="s">
        <v>644</v>
      </c>
      <c r="G341" s="12" t="s">
        <v>23</v>
      </c>
      <c r="H341" s="15"/>
      <c r="I341" s="15"/>
      <c r="J341" s="15">
        <f t="shared" si="10"/>
        <v>0</v>
      </c>
    </row>
    <row r="342" ht="28.8" spans="1:10">
      <c r="A342" s="12" t="e">
        <f t="shared" si="11"/>
        <v>#REF!</v>
      </c>
      <c r="B342" s="12"/>
      <c r="C342" s="13" t="s">
        <v>933</v>
      </c>
      <c r="D342" s="14" t="s">
        <v>11</v>
      </c>
      <c r="E342" s="14" t="s">
        <v>634</v>
      </c>
      <c r="F342" s="13" t="s">
        <v>635</v>
      </c>
      <c r="G342" s="12" t="s">
        <v>23</v>
      </c>
      <c r="H342" s="15"/>
      <c r="I342" s="15"/>
      <c r="J342" s="15">
        <f t="shared" si="10"/>
        <v>0</v>
      </c>
    </row>
    <row r="343" ht="28.8" spans="1:10">
      <c r="A343" s="12" t="e">
        <f t="shared" si="11"/>
        <v>#REF!</v>
      </c>
      <c r="B343" s="12"/>
      <c r="C343" s="13" t="s">
        <v>933</v>
      </c>
      <c r="D343" s="14" t="s">
        <v>11</v>
      </c>
      <c r="E343" s="14" t="s">
        <v>634</v>
      </c>
      <c r="F343" s="13" t="s">
        <v>640</v>
      </c>
      <c r="G343" s="12" t="s">
        <v>23</v>
      </c>
      <c r="H343" s="15"/>
      <c r="I343" s="15"/>
      <c r="J343" s="15">
        <f t="shared" si="10"/>
        <v>0</v>
      </c>
    </row>
    <row r="344" ht="28.8" spans="1:10">
      <c r="A344" s="12" t="e">
        <f t="shared" si="11"/>
        <v>#REF!</v>
      </c>
      <c r="B344" s="12"/>
      <c r="C344" s="13" t="s">
        <v>933</v>
      </c>
      <c r="D344" s="14" t="s">
        <v>20</v>
      </c>
      <c r="E344" s="14" t="s">
        <v>636</v>
      </c>
      <c r="F344" s="13" t="s">
        <v>647</v>
      </c>
      <c r="G344" s="12" t="s">
        <v>23</v>
      </c>
      <c r="H344" s="15"/>
      <c r="I344" s="15"/>
      <c r="J344" s="15">
        <f t="shared" si="10"/>
        <v>0</v>
      </c>
    </row>
    <row r="345" ht="28.8" spans="1:10">
      <c r="A345" s="12" t="e">
        <f t="shared" si="11"/>
        <v>#REF!</v>
      </c>
      <c r="B345" s="12"/>
      <c r="C345" s="13" t="s">
        <v>935</v>
      </c>
      <c r="D345" s="14" t="s">
        <v>11</v>
      </c>
      <c r="E345" s="14" t="s">
        <v>634</v>
      </c>
      <c r="F345" s="13" t="s">
        <v>640</v>
      </c>
      <c r="G345" s="12" t="s">
        <v>23</v>
      </c>
      <c r="H345" s="15"/>
      <c r="I345" s="15"/>
      <c r="J345" s="15">
        <f t="shared" si="10"/>
        <v>0</v>
      </c>
    </row>
    <row r="346" ht="28.8" spans="1:10">
      <c r="A346" s="12" t="e">
        <f t="shared" si="11"/>
        <v>#REF!</v>
      </c>
      <c r="B346" s="12"/>
      <c r="C346" s="13" t="s">
        <v>935</v>
      </c>
      <c r="D346" s="14" t="s">
        <v>11</v>
      </c>
      <c r="E346" s="14" t="s">
        <v>634</v>
      </c>
      <c r="F346" s="13" t="s">
        <v>650</v>
      </c>
      <c r="G346" s="12" t="s">
        <v>23</v>
      </c>
      <c r="H346" s="15"/>
      <c r="I346" s="15"/>
      <c r="J346" s="15">
        <f t="shared" si="10"/>
        <v>0</v>
      </c>
    </row>
    <row r="347" ht="28.8" spans="1:10">
      <c r="A347" s="12" t="e">
        <f t="shared" si="11"/>
        <v>#REF!</v>
      </c>
      <c r="B347" s="12"/>
      <c r="C347" s="13" t="s">
        <v>935</v>
      </c>
      <c r="D347" s="14" t="s">
        <v>20</v>
      </c>
      <c r="E347" s="14" t="s">
        <v>636</v>
      </c>
      <c r="F347" s="13" t="s">
        <v>651</v>
      </c>
      <c r="G347" s="12" t="s">
        <v>23</v>
      </c>
      <c r="H347" s="15"/>
      <c r="I347" s="15"/>
      <c r="J347" s="15">
        <f t="shared" si="10"/>
        <v>0</v>
      </c>
    </row>
    <row r="348" ht="28.8" spans="1:10">
      <c r="A348" s="12" t="e">
        <f t="shared" si="11"/>
        <v>#REF!</v>
      </c>
      <c r="B348" s="12"/>
      <c r="C348" s="13" t="s">
        <v>937</v>
      </c>
      <c r="D348" s="14" t="s">
        <v>11</v>
      </c>
      <c r="E348" s="14" t="s">
        <v>634</v>
      </c>
      <c r="F348" s="13" t="s">
        <v>635</v>
      </c>
      <c r="G348" s="12" t="s">
        <v>23</v>
      </c>
      <c r="H348" s="15"/>
      <c r="I348" s="15"/>
      <c r="J348" s="15">
        <f t="shared" si="10"/>
        <v>0</v>
      </c>
    </row>
    <row r="349" ht="28.8" spans="1:10">
      <c r="A349" s="12" t="e">
        <f t="shared" si="11"/>
        <v>#REF!</v>
      </c>
      <c r="B349" s="12"/>
      <c r="C349" s="13" t="s">
        <v>937</v>
      </c>
      <c r="D349" s="14" t="s">
        <v>11</v>
      </c>
      <c r="E349" s="14" t="s">
        <v>634</v>
      </c>
      <c r="F349" s="13" t="s">
        <v>650</v>
      </c>
      <c r="G349" s="12" t="s">
        <v>23</v>
      </c>
      <c r="H349" s="15"/>
      <c r="I349" s="15"/>
      <c r="J349" s="15">
        <f t="shared" si="10"/>
        <v>0</v>
      </c>
    </row>
    <row r="350" ht="28.8" spans="1:10">
      <c r="A350" s="12" t="e">
        <f t="shared" si="11"/>
        <v>#REF!</v>
      </c>
      <c r="B350" s="12"/>
      <c r="C350" s="13" t="s">
        <v>937</v>
      </c>
      <c r="D350" s="14" t="s">
        <v>20</v>
      </c>
      <c r="E350" s="14" t="s">
        <v>636</v>
      </c>
      <c r="F350" s="13" t="s">
        <v>654</v>
      </c>
      <c r="G350" s="12" t="s">
        <v>23</v>
      </c>
      <c r="H350" s="15"/>
      <c r="I350" s="15"/>
      <c r="J350" s="15">
        <f t="shared" si="10"/>
        <v>0</v>
      </c>
    </row>
    <row r="351" spans="1:10">
      <c r="A351" s="12" t="e">
        <f t="shared" si="11"/>
        <v>#REF!</v>
      </c>
      <c r="B351" s="12"/>
      <c r="C351" s="13" t="s">
        <v>939</v>
      </c>
      <c r="D351" s="14" t="s">
        <v>11</v>
      </c>
      <c r="E351" s="14" t="s">
        <v>657</v>
      </c>
      <c r="F351" s="13" t="s">
        <v>658</v>
      </c>
      <c r="G351" s="12" t="s">
        <v>34</v>
      </c>
      <c r="H351" s="15"/>
      <c r="I351" s="15"/>
      <c r="J351" s="15">
        <f t="shared" si="10"/>
        <v>0</v>
      </c>
    </row>
    <row r="352" spans="1:10">
      <c r="A352" s="12" t="e">
        <f t="shared" si="11"/>
        <v>#REF!</v>
      </c>
      <c r="B352" s="12"/>
      <c r="C352" s="13" t="s">
        <v>941</v>
      </c>
      <c r="D352" s="14" t="s">
        <v>11</v>
      </c>
      <c r="E352" s="14" t="s">
        <v>12</v>
      </c>
      <c r="F352" s="13" t="s">
        <v>13</v>
      </c>
      <c r="G352" s="12" t="s">
        <v>14</v>
      </c>
      <c r="H352" s="15"/>
      <c r="I352" s="15"/>
      <c r="J352" s="15">
        <f t="shared" si="10"/>
        <v>0</v>
      </c>
    </row>
    <row r="353" spans="1:10">
      <c r="A353" s="12" t="e">
        <f t="shared" si="11"/>
        <v>#REF!</v>
      </c>
      <c r="B353" s="12"/>
      <c r="C353" s="13" t="s">
        <v>941</v>
      </c>
      <c r="D353" s="14" t="s">
        <v>11</v>
      </c>
      <c r="E353" s="14" t="s">
        <v>12</v>
      </c>
      <c r="F353" s="13" t="s">
        <v>15</v>
      </c>
      <c r="G353" s="12" t="s">
        <v>14</v>
      </c>
      <c r="H353" s="15"/>
      <c r="I353" s="15"/>
      <c r="J353" s="15">
        <f t="shared" si="10"/>
        <v>0</v>
      </c>
    </row>
    <row r="354" spans="1:10">
      <c r="A354" s="12" t="e">
        <f t="shared" si="11"/>
        <v>#REF!</v>
      </c>
      <c r="B354" s="12"/>
      <c r="C354" s="13" t="s">
        <v>941</v>
      </c>
      <c r="D354" s="14" t="s">
        <v>11</v>
      </c>
      <c r="E354" s="14" t="s">
        <v>12</v>
      </c>
      <c r="F354" s="13" t="s">
        <v>28</v>
      </c>
      <c r="G354" s="12" t="s">
        <v>14</v>
      </c>
      <c r="H354" s="15"/>
      <c r="I354" s="15"/>
      <c r="J354" s="15">
        <f t="shared" si="10"/>
        <v>0</v>
      </c>
    </row>
    <row r="355" spans="1:10">
      <c r="A355" s="12" t="e">
        <f t="shared" si="11"/>
        <v>#REF!</v>
      </c>
      <c r="B355" s="12"/>
      <c r="C355" s="13" t="s">
        <v>941</v>
      </c>
      <c r="D355" s="14" t="s">
        <v>20</v>
      </c>
      <c r="E355" s="14" t="s">
        <v>106</v>
      </c>
      <c r="F355" s="13" t="s">
        <v>107</v>
      </c>
      <c r="G355" s="12" t="s">
        <v>108</v>
      </c>
      <c r="H355" s="15"/>
      <c r="I355" s="15"/>
      <c r="J355" s="15">
        <f t="shared" si="10"/>
        <v>0</v>
      </c>
    </row>
    <row r="356" spans="1:10">
      <c r="A356" s="12" t="e">
        <f t="shared" si="11"/>
        <v>#REF!</v>
      </c>
      <c r="B356" s="12"/>
      <c r="C356" s="13" t="s">
        <v>941</v>
      </c>
      <c r="D356" s="14" t="s">
        <v>20</v>
      </c>
      <c r="E356" s="14" t="s">
        <v>596</v>
      </c>
      <c r="F356" s="13" t="s">
        <v>597</v>
      </c>
      <c r="G356" s="12" t="s">
        <v>46</v>
      </c>
      <c r="H356" s="15"/>
      <c r="I356" s="15"/>
      <c r="J356" s="15">
        <f t="shared" si="10"/>
        <v>0</v>
      </c>
    </row>
    <row r="357" spans="1:10">
      <c r="A357" s="12" t="e">
        <f t="shared" si="11"/>
        <v>#REF!</v>
      </c>
      <c r="B357" s="12"/>
      <c r="C357" s="13" t="s">
        <v>943</v>
      </c>
      <c r="D357" s="14" t="s">
        <v>11</v>
      </c>
      <c r="E357" s="14" t="s">
        <v>12</v>
      </c>
      <c r="F357" s="13" t="s">
        <v>13</v>
      </c>
      <c r="G357" s="12" t="s">
        <v>14</v>
      </c>
      <c r="H357" s="15"/>
      <c r="I357" s="15"/>
      <c r="J357" s="15">
        <f t="shared" si="10"/>
        <v>0</v>
      </c>
    </row>
    <row r="358" spans="1:10">
      <c r="A358" s="12" t="e">
        <f t="shared" si="11"/>
        <v>#REF!</v>
      </c>
      <c r="B358" s="12"/>
      <c r="C358" s="13" t="s">
        <v>943</v>
      </c>
      <c r="D358" s="14" t="s">
        <v>11</v>
      </c>
      <c r="E358" s="14" t="s">
        <v>12</v>
      </c>
      <c r="F358" s="13" t="s">
        <v>15</v>
      </c>
      <c r="G358" s="12" t="s">
        <v>14</v>
      </c>
      <c r="H358" s="15"/>
      <c r="I358" s="15"/>
      <c r="J358" s="15">
        <f t="shared" si="10"/>
        <v>0</v>
      </c>
    </row>
    <row r="359" spans="1:10">
      <c r="A359" s="12" t="e">
        <f t="shared" si="11"/>
        <v>#REF!</v>
      </c>
      <c r="B359" s="12"/>
      <c r="C359" s="13" t="s">
        <v>943</v>
      </c>
      <c r="D359" s="14" t="s">
        <v>11</v>
      </c>
      <c r="E359" s="14" t="s">
        <v>12</v>
      </c>
      <c r="F359" s="13" t="s">
        <v>28</v>
      </c>
      <c r="G359" s="12" t="s">
        <v>14</v>
      </c>
      <c r="H359" s="15"/>
      <c r="I359" s="15"/>
      <c r="J359" s="15">
        <f t="shared" si="10"/>
        <v>0</v>
      </c>
    </row>
    <row r="360" spans="1:10">
      <c r="A360" s="12" t="e">
        <f t="shared" si="11"/>
        <v>#REF!</v>
      </c>
      <c r="B360" s="12"/>
      <c r="C360" s="13" t="s">
        <v>943</v>
      </c>
      <c r="D360" s="14" t="s">
        <v>20</v>
      </c>
      <c r="E360" s="14" t="s">
        <v>106</v>
      </c>
      <c r="F360" s="13" t="s">
        <v>107</v>
      </c>
      <c r="G360" s="12" t="s">
        <v>108</v>
      </c>
      <c r="H360" s="15"/>
      <c r="I360" s="15"/>
      <c r="J360" s="15">
        <f t="shared" si="10"/>
        <v>0</v>
      </c>
    </row>
    <row r="361" spans="1:10">
      <c r="A361" s="12" t="e">
        <f t="shared" si="11"/>
        <v>#REF!</v>
      </c>
      <c r="B361" s="12"/>
      <c r="C361" s="13" t="s">
        <v>945</v>
      </c>
      <c r="D361" s="14" t="s">
        <v>11</v>
      </c>
      <c r="E361" s="14" t="s">
        <v>665</v>
      </c>
      <c r="F361" s="13" t="s">
        <v>666</v>
      </c>
      <c r="G361" s="12" t="s">
        <v>34</v>
      </c>
      <c r="H361" s="15"/>
      <c r="I361" s="15"/>
      <c r="J361" s="15">
        <f t="shared" si="10"/>
        <v>0</v>
      </c>
    </row>
    <row r="362" spans="1:10">
      <c r="A362" s="12" t="e">
        <f t="shared" si="11"/>
        <v>#REF!</v>
      </c>
      <c r="B362" s="12"/>
      <c r="C362" s="13" t="s">
        <v>945</v>
      </c>
      <c r="D362" s="14" t="s">
        <v>11</v>
      </c>
      <c r="E362" s="14" t="s">
        <v>12</v>
      </c>
      <c r="F362" s="13" t="s">
        <v>13</v>
      </c>
      <c r="G362" s="12" t="s">
        <v>14</v>
      </c>
      <c r="H362" s="15"/>
      <c r="I362" s="15"/>
      <c r="J362" s="15">
        <f t="shared" si="10"/>
        <v>0</v>
      </c>
    </row>
    <row r="363" spans="1:10">
      <c r="A363" s="12" t="e">
        <f t="shared" si="11"/>
        <v>#REF!</v>
      </c>
      <c r="B363" s="12"/>
      <c r="C363" s="13" t="s">
        <v>945</v>
      </c>
      <c r="D363" s="14" t="s">
        <v>11</v>
      </c>
      <c r="E363" s="14" t="s">
        <v>12</v>
      </c>
      <c r="F363" s="13" t="s">
        <v>15</v>
      </c>
      <c r="G363" s="12" t="s">
        <v>14</v>
      </c>
      <c r="H363" s="15"/>
      <c r="I363" s="15"/>
      <c r="J363" s="15">
        <f t="shared" si="10"/>
        <v>0</v>
      </c>
    </row>
    <row r="364" spans="1:10">
      <c r="A364" s="12" t="e">
        <f t="shared" si="11"/>
        <v>#REF!</v>
      </c>
      <c r="B364" s="12"/>
      <c r="C364" s="13" t="s">
        <v>945</v>
      </c>
      <c r="D364" s="14" t="s">
        <v>11</v>
      </c>
      <c r="E364" s="14" t="s">
        <v>12</v>
      </c>
      <c r="F364" s="13" t="s">
        <v>28</v>
      </c>
      <c r="G364" s="12" t="s">
        <v>14</v>
      </c>
      <c r="H364" s="15"/>
      <c r="I364" s="15"/>
      <c r="J364" s="15">
        <f t="shared" si="10"/>
        <v>0</v>
      </c>
    </row>
    <row r="365" ht="28.8" spans="1:10">
      <c r="A365" s="12" t="e">
        <f t="shared" si="11"/>
        <v>#REF!</v>
      </c>
      <c r="B365" s="12"/>
      <c r="C365" s="13" t="s">
        <v>945</v>
      </c>
      <c r="D365" s="14" t="s">
        <v>20</v>
      </c>
      <c r="E365" s="14" t="s">
        <v>59</v>
      </c>
      <c r="F365" s="13" t="s">
        <v>667</v>
      </c>
      <c r="G365" s="12" t="s">
        <v>49</v>
      </c>
      <c r="H365" s="15"/>
      <c r="I365" s="15"/>
      <c r="J365" s="15">
        <f t="shared" si="10"/>
        <v>0</v>
      </c>
    </row>
    <row r="366" spans="1:10">
      <c r="A366" s="12" t="e">
        <f t="shared" si="11"/>
        <v>#REF!</v>
      </c>
      <c r="B366" s="12"/>
      <c r="C366" s="13" t="s">
        <v>945</v>
      </c>
      <c r="D366" s="14" t="s">
        <v>20</v>
      </c>
      <c r="E366" s="14" t="s">
        <v>59</v>
      </c>
      <c r="F366" s="13" t="s">
        <v>668</v>
      </c>
      <c r="G366" s="12" t="s">
        <v>49</v>
      </c>
      <c r="H366" s="15"/>
      <c r="I366" s="15"/>
      <c r="J366" s="15">
        <f t="shared" si="10"/>
        <v>0</v>
      </c>
    </row>
    <row r="367" spans="1:10">
      <c r="A367" s="12" t="e">
        <f t="shared" si="11"/>
        <v>#REF!</v>
      </c>
      <c r="B367" s="12"/>
      <c r="C367" s="13" t="s">
        <v>945</v>
      </c>
      <c r="D367" s="14" t="s">
        <v>20</v>
      </c>
      <c r="E367" s="14" t="s">
        <v>59</v>
      </c>
      <c r="F367" s="13" t="s">
        <v>60</v>
      </c>
      <c r="G367" s="12" t="s">
        <v>49</v>
      </c>
      <c r="H367" s="15"/>
      <c r="I367" s="15"/>
      <c r="J367" s="15">
        <f t="shared" si="10"/>
        <v>0</v>
      </c>
    </row>
    <row r="368" spans="1:10">
      <c r="A368" s="12" t="e">
        <f t="shared" si="11"/>
        <v>#REF!</v>
      </c>
      <c r="B368" s="12"/>
      <c r="C368" s="13" t="s">
        <v>945</v>
      </c>
      <c r="D368" s="14" t="s">
        <v>20</v>
      </c>
      <c r="E368" s="14" t="s">
        <v>106</v>
      </c>
      <c r="F368" s="13" t="s">
        <v>838</v>
      </c>
      <c r="G368" s="12" t="s">
        <v>108</v>
      </c>
      <c r="H368" s="15"/>
      <c r="I368" s="15"/>
      <c r="J368" s="15">
        <f t="shared" si="10"/>
        <v>0</v>
      </c>
    </row>
    <row r="369" spans="1:10">
      <c r="A369" s="12" t="e">
        <f t="shared" si="11"/>
        <v>#REF!</v>
      </c>
      <c r="B369" s="12"/>
      <c r="C369" s="13" t="s">
        <v>947</v>
      </c>
      <c r="D369" s="14" t="s">
        <v>11</v>
      </c>
      <c r="E369" s="14" t="s">
        <v>12</v>
      </c>
      <c r="F369" s="13" t="s">
        <v>13</v>
      </c>
      <c r="G369" s="12" t="s">
        <v>14</v>
      </c>
      <c r="H369" s="15"/>
      <c r="I369" s="15"/>
      <c r="J369" s="15">
        <f t="shared" si="10"/>
        <v>0</v>
      </c>
    </row>
    <row r="370" spans="1:10">
      <c r="A370" s="12" t="e">
        <f t="shared" si="11"/>
        <v>#REF!</v>
      </c>
      <c r="B370" s="12"/>
      <c r="C370" s="13" t="s">
        <v>947</v>
      </c>
      <c r="D370" s="14" t="s">
        <v>11</v>
      </c>
      <c r="E370" s="14" t="s">
        <v>12</v>
      </c>
      <c r="F370" s="13" t="s">
        <v>15</v>
      </c>
      <c r="G370" s="12" t="s">
        <v>14</v>
      </c>
      <c r="H370" s="15"/>
      <c r="I370" s="15"/>
      <c r="J370" s="15">
        <f t="shared" si="10"/>
        <v>0</v>
      </c>
    </row>
    <row r="371" spans="1:10">
      <c r="A371" s="12" t="e">
        <f t="shared" si="11"/>
        <v>#REF!</v>
      </c>
      <c r="B371" s="12"/>
      <c r="C371" s="13" t="s">
        <v>947</v>
      </c>
      <c r="D371" s="14" t="s">
        <v>11</v>
      </c>
      <c r="E371" s="14" t="s">
        <v>12</v>
      </c>
      <c r="F371" s="13" t="s">
        <v>28</v>
      </c>
      <c r="G371" s="12" t="s">
        <v>14</v>
      </c>
      <c r="H371" s="15"/>
      <c r="I371" s="15"/>
      <c r="J371" s="15">
        <f t="shared" si="10"/>
        <v>0</v>
      </c>
    </row>
    <row r="372" ht="28.8" spans="1:10">
      <c r="A372" s="12" t="e">
        <f t="shared" si="11"/>
        <v>#REF!</v>
      </c>
      <c r="B372" s="12"/>
      <c r="C372" s="13" t="s">
        <v>947</v>
      </c>
      <c r="D372" s="14" t="s">
        <v>20</v>
      </c>
      <c r="E372" s="14" t="s">
        <v>59</v>
      </c>
      <c r="F372" s="13" t="s">
        <v>667</v>
      </c>
      <c r="G372" s="12" t="s">
        <v>49</v>
      </c>
      <c r="H372" s="15"/>
      <c r="I372" s="15"/>
      <c r="J372" s="15">
        <f t="shared" si="10"/>
        <v>0</v>
      </c>
    </row>
    <row r="373" spans="1:10">
      <c r="A373" s="12" t="e">
        <f t="shared" si="11"/>
        <v>#REF!</v>
      </c>
      <c r="B373" s="12"/>
      <c r="C373" s="13" t="s">
        <v>947</v>
      </c>
      <c r="D373" s="14" t="s">
        <v>20</v>
      </c>
      <c r="E373" s="14" t="s">
        <v>59</v>
      </c>
      <c r="F373" s="13" t="s">
        <v>668</v>
      </c>
      <c r="G373" s="12" t="s">
        <v>49</v>
      </c>
      <c r="H373" s="15"/>
      <c r="I373" s="15"/>
      <c r="J373" s="15">
        <f t="shared" si="10"/>
        <v>0</v>
      </c>
    </row>
    <row r="374" spans="1:10">
      <c r="A374" s="12" t="e">
        <f t="shared" si="11"/>
        <v>#REF!</v>
      </c>
      <c r="B374" s="12"/>
      <c r="C374" s="13" t="s">
        <v>947</v>
      </c>
      <c r="D374" s="14" t="s">
        <v>20</v>
      </c>
      <c r="E374" s="14" t="s">
        <v>59</v>
      </c>
      <c r="F374" s="13" t="s">
        <v>60</v>
      </c>
      <c r="G374" s="12" t="s">
        <v>49</v>
      </c>
      <c r="H374" s="15"/>
      <c r="I374" s="15"/>
      <c r="J374" s="15">
        <f t="shared" si="10"/>
        <v>0</v>
      </c>
    </row>
    <row r="375" spans="1:10">
      <c r="A375" s="12" t="e">
        <f t="shared" si="11"/>
        <v>#REF!</v>
      </c>
      <c r="B375" s="12"/>
      <c r="C375" s="13" t="s">
        <v>947</v>
      </c>
      <c r="D375" s="14" t="s">
        <v>20</v>
      </c>
      <c r="E375" s="14" t="s">
        <v>106</v>
      </c>
      <c r="F375" s="13" t="s">
        <v>873</v>
      </c>
      <c r="G375" s="12" t="s">
        <v>108</v>
      </c>
      <c r="H375" s="15"/>
      <c r="I375" s="15"/>
      <c r="J375" s="15">
        <f t="shared" si="10"/>
        <v>0</v>
      </c>
    </row>
    <row r="376" ht="28.8" spans="1:10">
      <c r="A376" s="12" t="e">
        <f t="shared" si="11"/>
        <v>#REF!</v>
      </c>
      <c r="B376" s="12"/>
      <c r="C376" s="13" t="s">
        <v>949</v>
      </c>
      <c r="D376" s="14" t="s">
        <v>11</v>
      </c>
      <c r="E376" s="14" t="s">
        <v>618</v>
      </c>
      <c r="F376" s="13" t="s">
        <v>619</v>
      </c>
      <c r="G376" s="12" t="s">
        <v>23</v>
      </c>
      <c r="H376" s="15"/>
      <c r="I376" s="15"/>
      <c r="J376" s="15">
        <f t="shared" si="10"/>
        <v>0</v>
      </c>
    </row>
    <row r="377" ht="28.8" spans="1:10">
      <c r="A377" s="12" t="e">
        <f t="shared" si="11"/>
        <v>#REF!</v>
      </c>
      <c r="B377" s="12"/>
      <c r="C377" s="13" t="s">
        <v>949</v>
      </c>
      <c r="D377" s="14" t="s">
        <v>11</v>
      </c>
      <c r="E377" s="14" t="s">
        <v>618</v>
      </c>
      <c r="F377" s="13" t="s">
        <v>620</v>
      </c>
      <c r="G377" s="12" t="s">
        <v>23</v>
      </c>
      <c r="H377" s="15"/>
      <c r="I377" s="15"/>
      <c r="J377" s="15">
        <f t="shared" si="10"/>
        <v>0</v>
      </c>
    </row>
    <row r="378" ht="28.8" spans="1:10">
      <c r="A378" s="12" t="e">
        <f t="shared" si="11"/>
        <v>#REF!</v>
      </c>
      <c r="B378" s="12"/>
      <c r="C378" s="13" t="s">
        <v>949</v>
      </c>
      <c r="D378" s="14" t="s">
        <v>11</v>
      </c>
      <c r="E378" s="14" t="s">
        <v>618</v>
      </c>
      <c r="F378" s="13" t="s">
        <v>621</v>
      </c>
      <c r="G378" s="12" t="s">
        <v>23</v>
      </c>
      <c r="H378" s="15"/>
      <c r="I378" s="15"/>
      <c r="J378" s="15">
        <f t="shared" si="10"/>
        <v>0</v>
      </c>
    </row>
    <row r="379" ht="28.8" spans="1:10">
      <c r="A379" s="12" t="e">
        <f t="shared" si="11"/>
        <v>#REF!</v>
      </c>
      <c r="B379" s="12"/>
      <c r="C379" s="13" t="s">
        <v>951</v>
      </c>
      <c r="D379" s="14" t="s">
        <v>11</v>
      </c>
      <c r="E379" s="14" t="s">
        <v>12</v>
      </c>
      <c r="F379" s="13" t="s">
        <v>13</v>
      </c>
      <c r="G379" s="12" t="s">
        <v>14</v>
      </c>
      <c r="H379" s="15"/>
      <c r="I379" s="15"/>
      <c r="J379" s="15">
        <f t="shared" si="10"/>
        <v>0</v>
      </c>
    </row>
    <row r="380" ht="28.8" spans="1:10">
      <c r="A380" s="12" t="e">
        <f t="shared" si="11"/>
        <v>#REF!</v>
      </c>
      <c r="B380" s="12"/>
      <c r="C380" s="13" t="s">
        <v>951</v>
      </c>
      <c r="D380" s="14" t="s">
        <v>20</v>
      </c>
      <c r="E380" s="14" t="s">
        <v>576</v>
      </c>
      <c r="F380" s="13" t="s">
        <v>918</v>
      </c>
      <c r="G380" s="12" t="s">
        <v>100</v>
      </c>
      <c r="H380" s="15"/>
      <c r="I380" s="15"/>
      <c r="J380" s="15">
        <f t="shared" si="10"/>
        <v>0</v>
      </c>
    </row>
    <row r="381" ht="28.8" spans="1:10">
      <c r="A381" s="12" t="e">
        <f t="shared" si="11"/>
        <v>#REF!</v>
      </c>
      <c r="B381" s="12"/>
      <c r="C381" s="13" t="s">
        <v>951</v>
      </c>
      <c r="D381" s="14" t="s">
        <v>20</v>
      </c>
      <c r="E381" s="14" t="s">
        <v>104</v>
      </c>
      <c r="F381" s="13" t="s">
        <v>919</v>
      </c>
      <c r="G381" s="12" t="s">
        <v>49</v>
      </c>
      <c r="H381" s="15"/>
      <c r="I381" s="15"/>
      <c r="J381" s="15">
        <f t="shared" si="10"/>
        <v>0</v>
      </c>
    </row>
    <row r="382" ht="28.8" spans="1:10">
      <c r="A382" s="12" t="e">
        <f t="shared" si="11"/>
        <v>#REF!</v>
      </c>
      <c r="B382" s="12"/>
      <c r="C382" s="13" t="s">
        <v>951</v>
      </c>
      <c r="D382" s="14" t="s">
        <v>20</v>
      </c>
      <c r="E382" s="14" t="s">
        <v>112</v>
      </c>
      <c r="F382" s="13" t="s">
        <v>113</v>
      </c>
      <c r="G382" s="12" t="s">
        <v>46</v>
      </c>
      <c r="H382" s="15"/>
      <c r="I382" s="15"/>
      <c r="J382" s="15">
        <f t="shared" si="10"/>
        <v>0</v>
      </c>
    </row>
    <row r="383" spans="1:10">
      <c r="A383" s="12" t="e">
        <f t="shared" si="11"/>
        <v>#REF!</v>
      </c>
      <c r="B383" s="12"/>
      <c r="C383" s="13" t="s">
        <v>953</v>
      </c>
      <c r="D383" s="14" t="s">
        <v>20</v>
      </c>
      <c r="E383" s="14" t="s">
        <v>102</v>
      </c>
      <c r="F383" s="13" t="s">
        <v>103</v>
      </c>
      <c r="G383" s="12" t="s">
        <v>46</v>
      </c>
      <c r="H383" s="15"/>
      <c r="I383" s="15"/>
      <c r="J383" s="15">
        <f t="shared" si="10"/>
        <v>0</v>
      </c>
    </row>
    <row r="384" spans="1:10">
      <c r="A384" s="12" t="e">
        <f t="shared" si="11"/>
        <v>#REF!</v>
      </c>
      <c r="B384" s="12"/>
      <c r="C384" s="13" t="s">
        <v>953</v>
      </c>
      <c r="D384" s="14" t="s">
        <v>20</v>
      </c>
      <c r="E384" s="14" t="s">
        <v>596</v>
      </c>
      <c r="F384" s="13" t="s">
        <v>597</v>
      </c>
      <c r="G384" s="12" t="s">
        <v>46</v>
      </c>
      <c r="H384" s="15"/>
      <c r="I384" s="15"/>
      <c r="J384" s="15">
        <f t="shared" si="10"/>
        <v>0</v>
      </c>
    </row>
    <row r="385" spans="1:10">
      <c r="A385" s="12" t="e">
        <f t="shared" si="11"/>
        <v>#REF!</v>
      </c>
      <c r="B385" s="12"/>
      <c r="C385" s="13" t="s">
        <v>953</v>
      </c>
      <c r="D385" s="14" t="s">
        <v>11</v>
      </c>
      <c r="E385" s="14" t="s">
        <v>598</v>
      </c>
      <c r="F385" s="13" t="s">
        <v>599</v>
      </c>
      <c r="G385" s="12" t="s">
        <v>34</v>
      </c>
      <c r="H385" s="15"/>
      <c r="I385" s="15"/>
      <c r="J385" s="15">
        <f t="shared" si="10"/>
        <v>0</v>
      </c>
    </row>
    <row r="386" spans="1:10">
      <c r="A386" s="12" t="e">
        <f t="shared" si="11"/>
        <v>#REF!</v>
      </c>
      <c r="B386" s="12"/>
      <c r="C386" s="13" t="s">
        <v>953</v>
      </c>
      <c r="D386" s="14" t="s">
        <v>20</v>
      </c>
      <c r="E386" s="14" t="s">
        <v>600</v>
      </c>
      <c r="F386" s="13" t="s">
        <v>601</v>
      </c>
      <c r="G386" s="12" t="s">
        <v>63</v>
      </c>
      <c r="H386" s="15"/>
      <c r="I386" s="15"/>
      <c r="J386" s="15">
        <f t="shared" si="10"/>
        <v>0</v>
      </c>
    </row>
    <row r="387" ht="28.8" spans="1:10">
      <c r="A387" s="12" t="e">
        <f t="shared" si="11"/>
        <v>#REF!</v>
      </c>
      <c r="B387" s="12"/>
      <c r="C387" s="13" t="s">
        <v>955</v>
      </c>
      <c r="D387" s="14" t="s">
        <v>11</v>
      </c>
      <c r="E387" s="14" t="s">
        <v>24</v>
      </c>
      <c r="F387" s="13" t="s">
        <v>604</v>
      </c>
      <c r="G387" s="12" t="s">
        <v>34</v>
      </c>
      <c r="H387" s="15"/>
      <c r="I387" s="15"/>
      <c r="J387" s="15">
        <f t="shared" si="10"/>
        <v>0</v>
      </c>
    </row>
    <row r="388" ht="28.8" spans="1:10">
      <c r="A388" s="12" t="e">
        <f t="shared" si="11"/>
        <v>#REF!</v>
      </c>
      <c r="B388" s="12"/>
      <c r="C388" s="13" t="s">
        <v>955</v>
      </c>
      <c r="D388" s="14" t="s">
        <v>11</v>
      </c>
      <c r="E388" s="14" t="s">
        <v>24</v>
      </c>
      <c r="F388" s="13" t="s">
        <v>605</v>
      </c>
      <c r="G388" s="12" t="s">
        <v>34</v>
      </c>
      <c r="H388" s="15"/>
      <c r="I388" s="15"/>
      <c r="J388" s="15">
        <f t="shared" ref="J388:J451" si="12">+ROUND(PRODUCT(H388*I388),0)</f>
        <v>0</v>
      </c>
    </row>
    <row r="389" ht="28.8" spans="1:10">
      <c r="A389" s="12" t="e">
        <f t="shared" ref="A389:A452" si="13">1+A388</f>
        <v>#REF!</v>
      </c>
      <c r="B389" s="12"/>
      <c r="C389" s="13" t="s">
        <v>955</v>
      </c>
      <c r="D389" s="14" t="s">
        <v>11</v>
      </c>
      <c r="E389" s="14" t="s">
        <v>24</v>
      </c>
      <c r="F389" s="13" t="s">
        <v>606</v>
      </c>
      <c r="G389" s="12" t="s">
        <v>34</v>
      </c>
      <c r="H389" s="15"/>
      <c r="I389" s="15"/>
      <c r="J389" s="15">
        <f t="shared" si="12"/>
        <v>0</v>
      </c>
    </row>
    <row r="390" ht="28.8" spans="1:10">
      <c r="A390" s="12" t="e">
        <f t="shared" si="13"/>
        <v>#REF!</v>
      </c>
      <c r="B390" s="12"/>
      <c r="C390" s="13" t="s">
        <v>955</v>
      </c>
      <c r="D390" s="14" t="s">
        <v>20</v>
      </c>
      <c r="E390" s="14" t="s">
        <v>47</v>
      </c>
      <c r="F390" s="13" t="s">
        <v>48</v>
      </c>
      <c r="G390" s="12" t="s">
        <v>49</v>
      </c>
      <c r="H390" s="15"/>
      <c r="I390" s="15"/>
      <c r="J390" s="15">
        <f t="shared" si="12"/>
        <v>0</v>
      </c>
    </row>
    <row r="391" ht="28.8" spans="1:10">
      <c r="A391" s="12" t="e">
        <f t="shared" si="13"/>
        <v>#REF!</v>
      </c>
      <c r="B391" s="12"/>
      <c r="C391" s="13" t="s">
        <v>955</v>
      </c>
      <c r="D391" s="14" t="s">
        <v>20</v>
      </c>
      <c r="E391" s="14" t="s">
        <v>47</v>
      </c>
      <c r="F391" s="13" t="s">
        <v>50</v>
      </c>
      <c r="G391" s="12" t="s">
        <v>49</v>
      </c>
      <c r="H391" s="15"/>
      <c r="I391" s="15"/>
      <c r="J391" s="15">
        <f t="shared" si="12"/>
        <v>0</v>
      </c>
    </row>
    <row r="392" ht="28.8" spans="1:10">
      <c r="A392" s="12" t="e">
        <f t="shared" si="13"/>
        <v>#REF!</v>
      </c>
      <c r="B392" s="12"/>
      <c r="C392" s="13" t="s">
        <v>955</v>
      </c>
      <c r="D392" s="14" t="s">
        <v>20</v>
      </c>
      <c r="E392" s="14" t="s">
        <v>61</v>
      </c>
      <c r="F392" s="13" t="s">
        <v>78</v>
      </c>
      <c r="G392" s="12" t="s">
        <v>49</v>
      </c>
      <c r="H392" s="15"/>
      <c r="I392" s="15"/>
      <c r="J392" s="15">
        <f t="shared" si="12"/>
        <v>0</v>
      </c>
    </row>
    <row r="393" ht="28.8" spans="1:10">
      <c r="A393" s="12" t="e">
        <f t="shared" si="13"/>
        <v>#REF!</v>
      </c>
      <c r="B393" s="12"/>
      <c r="C393" s="13" t="s">
        <v>955</v>
      </c>
      <c r="D393" s="14" t="s">
        <v>20</v>
      </c>
      <c r="E393" s="14" t="s">
        <v>61</v>
      </c>
      <c r="F393" s="13" t="s">
        <v>607</v>
      </c>
      <c r="G393" s="12" t="s">
        <v>23</v>
      </c>
      <c r="H393" s="15"/>
      <c r="I393" s="15"/>
      <c r="J393" s="15">
        <f t="shared" si="12"/>
        <v>0</v>
      </c>
    </row>
    <row r="394" ht="28.8" spans="1:10">
      <c r="A394" s="12" t="e">
        <f t="shared" si="13"/>
        <v>#REF!</v>
      </c>
      <c r="B394" s="12"/>
      <c r="C394" s="13" t="s">
        <v>955</v>
      </c>
      <c r="D394" s="14" t="s">
        <v>20</v>
      </c>
      <c r="E394" s="14" t="s">
        <v>84</v>
      </c>
      <c r="F394" s="13" t="s">
        <v>86</v>
      </c>
      <c r="G394" s="12" t="s">
        <v>49</v>
      </c>
      <c r="H394" s="15"/>
      <c r="I394" s="15"/>
      <c r="J394" s="15">
        <f t="shared" si="12"/>
        <v>0</v>
      </c>
    </row>
    <row r="395" ht="28.8" spans="1:10">
      <c r="A395" s="12" t="e">
        <f t="shared" si="13"/>
        <v>#REF!</v>
      </c>
      <c r="B395" s="12"/>
      <c r="C395" s="13" t="s">
        <v>955</v>
      </c>
      <c r="D395" s="14" t="s">
        <v>20</v>
      </c>
      <c r="E395" s="14" t="s">
        <v>84</v>
      </c>
      <c r="F395" s="13" t="s">
        <v>87</v>
      </c>
      <c r="G395" s="12" t="s">
        <v>49</v>
      </c>
      <c r="H395" s="15"/>
      <c r="I395" s="15"/>
      <c r="J395" s="15">
        <f t="shared" si="12"/>
        <v>0</v>
      </c>
    </row>
    <row r="396" ht="28.8" spans="1:10">
      <c r="A396" s="12" t="e">
        <f t="shared" si="13"/>
        <v>#REF!</v>
      </c>
      <c r="B396" s="12"/>
      <c r="C396" s="13" t="s">
        <v>955</v>
      </c>
      <c r="D396" s="14" t="s">
        <v>20</v>
      </c>
      <c r="E396" s="14" t="s">
        <v>84</v>
      </c>
      <c r="F396" s="13" t="s">
        <v>608</v>
      </c>
      <c r="G396" s="12" t="s">
        <v>100</v>
      </c>
      <c r="H396" s="15"/>
      <c r="I396" s="15"/>
      <c r="J396" s="15">
        <f t="shared" si="12"/>
        <v>0</v>
      </c>
    </row>
    <row r="397" ht="28.8" spans="1:10">
      <c r="A397" s="12" t="e">
        <f t="shared" si="13"/>
        <v>#REF!</v>
      </c>
      <c r="B397" s="12"/>
      <c r="C397" s="13" t="s">
        <v>955</v>
      </c>
      <c r="D397" s="14" t="s">
        <v>20</v>
      </c>
      <c r="E397" s="14" t="s">
        <v>84</v>
      </c>
      <c r="F397" s="13" t="s">
        <v>609</v>
      </c>
      <c r="G397" s="12" t="s">
        <v>63</v>
      </c>
      <c r="H397" s="15"/>
      <c r="I397" s="15"/>
      <c r="J397" s="15">
        <f t="shared" si="12"/>
        <v>0</v>
      </c>
    </row>
    <row r="398" ht="28.8" spans="1:10">
      <c r="A398" s="12" t="e">
        <f t="shared" si="13"/>
        <v>#REF!</v>
      </c>
      <c r="B398" s="12"/>
      <c r="C398" s="13" t="s">
        <v>955</v>
      </c>
      <c r="D398" s="14" t="s">
        <v>20</v>
      </c>
      <c r="E398" s="14" t="s">
        <v>84</v>
      </c>
      <c r="F398" s="13" t="s">
        <v>956</v>
      </c>
      <c r="G398" s="12" t="s">
        <v>611</v>
      </c>
      <c r="H398" s="15"/>
      <c r="I398" s="15"/>
      <c r="J398" s="15">
        <f t="shared" si="12"/>
        <v>0</v>
      </c>
    </row>
    <row r="399" ht="28.8" spans="1:10">
      <c r="A399" s="12" t="e">
        <f t="shared" si="13"/>
        <v>#REF!</v>
      </c>
      <c r="B399" s="12"/>
      <c r="C399" s="13" t="s">
        <v>955</v>
      </c>
      <c r="D399" s="14" t="s">
        <v>20</v>
      </c>
      <c r="E399" s="14" t="s">
        <v>84</v>
      </c>
      <c r="F399" s="13" t="s">
        <v>683</v>
      </c>
      <c r="G399" s="12" t="s">
        <v>611</v>
      </c>
      <c r="H399" s="15"/>
      <c r="I399" s="15"/>
      <c r="J399" s="15">
        <f t="shared" si="12"/>
        <v>0</v>
      </c>
    </row>
    <row r="400" ht="28.8" spans="1:10">
      <c r="A400" s="12" t="e">
        <f t="shared" si="13"/>
        <v>#REF!</v>
      </c>
      <c r="B400" s="12"/>
      <c r="C400" s="13" t="s">
        <v>955</v>
      </c>
      <c r="D400" s="14" t="s">
        <v>20</v>
      </c>
      <c r="E400" s="14" t="s">
        <v>84</v>
      </c>
      <c r="F400" s="13" t="s">
        <v>610</v>
      </c>
      <c r="G400" s="12" t="s">
        <v>611</v>
      </c>
      <c r="H400" s="15"/>
      <c r="I400" s="15"/>
      <c r="J400" s="15">
        <f t="shared" si="12"/>
        <v>0</v>
      </c>
    </row>
    <row r="401" ht="28.8" spans="1:10">
      <c r="A401" s="12" t="e">
        <f t="shared" si="13"/>
        <v>#REF!</v>
      </c>
      <c r="B401" s="12"/>
      <c r="C401" s="13" t="s">
        <v>955</v>
      </c>
      <c r="D401" s="14" t="s">
        <v>20</v>
      </c>
      <c r="E401" s="14" t="s">
        <v>84</v>
      </c>
      <c r="F401" s="13" t="s">
        <v>612</v>
      </c>
      <c r="G401" s="12" t="s">
        <v>611</v>
      </c>
      <c r="H401" s="15"/>
      <c r="I401" s="15"/>
      <c r="J401" s="15">
        <f t="shared" si="12"/>
        <v>0</v>
      </c>
    </row>
    <row r="402" ht="28.8" spans="1:10">
      <c r="A402" s="12" t="e">
        <f t="shared" si="13"/>
        <v>#REF!</v>
      </c>
      <c r="B402" s="12"/>
      <c r="C402" s="13" t="s">
        <v>955</v>
      </c>
      <c r="D402" s="14" t="s">
        <v>20</v>
      </c>
      <c r="E402" s="14" t="s">
        <v>84</v>
      </c>
      <c r="F402" s="13" t="s">
        <v>684</v>
      </c>
      <c r="G402" s="12" t="s">
        <v>23</v>
      </c>
      <c r="H402" s="15"/>
      <c r="I402" s="15"/>
      <c r="J402" s="15">
        <f t="shared" si="12"/>
        <v>0</v>
      </c>
    </row>
    <row r="403" ht="28.8" spans="1:10">
      <c r="A403" s="12" t="e">
        <f t="shared" si="13"/>
        <v>#REF!</v>
      </c>
      <c r="B403" s="12"/>
      <c r="C403" s="13" t="s">
        <v>955</v>
      </c>
      <c r="D403" s="14" t="s">
        <v>20</v>
      </c>
      <c r="E403" s="14" t="s">
        <v>624</v>
      </c>
      <c r="F403" s="13" t="s">
        <v>957</v>
      </c>
      <c r="G403" s="12" t="s">
        <v>23</v>
      </c>
      <c r="H403" s="15"/>
      <c r="I403" s="15"/>
      <c r="J403" s="15">
        <f t="shared" si="12"/>
        <v>0</v>
      </c>
    </row>
    <row r="404" ht="28.8" spans="1:10">
      <c r="A404" s="12" t="e">
        <f t="shared" si="13"/>
        <v>#REF!</v>
      </c>
      <c r="B404" s="12"/>
      <c r="C404" s="13" t="s">
        <v>955</v>
      </c>
      <c r="D404" s="14" t="s">
        <v>20</v>
      </c>
      <c r="E404" s="14" t="s">
        <v>624</v>
      </c>
      <c r="F404" s="13" t="s">
        <v>958</v>
      </c>
      <c r="G404" s="12" t="s">
        <v>23</v>
      </c>
      <c r="H404" s="15"/>
      <c r="I404" s="15"/>
      <c r="J404" s="15">
        <f t="shared" si="12"/>
        <v>0</v>
      </c>
    </row>
    <row r="405" ht="28.8" spans="1:10">
      <c r="A405" s="12" t="e">
        <f t="shared" si="13"/>
        <v>#REF!</v>
      </c>
      <c r="B405" s="12"/>
      <c r="C405" s="13" t="s">
        <v>955</v>
      </c>
      <c r="D405" s="14" t="s">
        <v>20</v>
      </c>
      <c r="E405" s="14" t="s">
        <v>624</v>
      </c>
      <c r="F405" s="13" t="s">
        <v>959</v>
      </c>
      <c r="G405" s="12" t="s">
        <v>23</v>
      </c>
      <c r="H405" s="15"/>
      <c r="I405" s="15"/>
      <c r="J405" s="15">
        <f t="shared" si="12"/>
        <v>0</v>
      </c>
    </row>
    <row r="406" ht="28.8" spans="1:10">
      <c r="A406" s="12" t="e">
        <f t="shared" si="13"/>
        <v>#REF!</v>
      </c>
      <c r="B406" s="12"/>
      <c r="C406" s="13" t="s">
        <v>955</v>
      </c>
      <c r="D406" s="14" t="s">
        <v>20</v>
      </c>
      <c r="E406" s="14" t="s">
        <v>624</v>
      </c>
      <c r="F406" s="13" t="s">
        <v>629</v>
      </c>
      <c r="G406" s="12" t="s">
        <v>23</v>
      </c>
      <c r="H406" s="15"/>
      <c r="I406" s="15"/>
      <c r="J406" s="15">
        <f t="shared" si="12"/>
        <v>0</v>
      </c>
    </row>
    <row r="407" ht="28.8" spans="1:10">
      <c r="A407" s="12" t="e">
        <f t="shared" si="13"/>
        <v>#REF!</v>
      </c>
      <c r="B407" s="12"/>
      <c r="C407" s="13" t="s">
        <v>955</v>
      </c>
      <c r="D407" s="14" t="s">
        <v>20</v>
      </c>
      <c r="E407" s="14" t="s">
        <v>337</v>
      </c>
      <c r="F407" s="13" t="s">
        <v>960</v>
      </c>
      <c r="G407" s="12" t="s">
        <v>23</v>
      </c>
      <c r="H407" s="15"/>
      <c r="I407" s="15"/>
      <c r="J407" s="15">
        <f t="shared" si="12"/>
        <v>0</v>
      </c>
    </row>
    <row r="408" ht="28.8" spans="1:10">
      <c r="A408" s="12" t="e">
        <f t="shared" si="13"/>
        <v>#REF!</v>
      </c>
      <c r="B408" s="12"/>
      <c r="C408" s="13" t="s">
        <v>955</v>
      </c>
      <c r="D408" s="14" t="s">
        <v>20</v>
      </c>
      <c r="E408" s="14" t="s">
        <v>337</v>
      </c>
      <c r="F408" s="13" t="s">
        <v>961</v>
      </c>
      <c r="G408" s="12" t="s">
        <v>23</v>
      </c>
      <c r="H408" s="15"/>
      <c r="I408" s="15"/>
      <c r="J408" s="15">
        <f t="shared" si="12"/>
        <v>0</v>
      </c>
    </row>
    <row r="409" ht="28.8" spans="1:10">
      <c r="A409" s="12" t="e">
        <f t="shared" si="13"/>
        <v>#REF!</v>
      </c>
      <c r="B409" s="12"/>
      <c r="C409" s="13" t="s">
        <v>955</v>
      </c>
      <c r="D409" s="14" t="s">
        <v>20</v>
      </c>
      <c r="E409" s="14" t="s">
        <v>337</v>
      </c>
      <c r="F409" s="13" t="s">
        <v>962</v>
      </c>
      <c r="G409" s="12" t="s">
        <v>42</v>
      </c>
      <c r="H409" s="15"/>
      <c r="I409" s="15"/>
      <c r="J409" s="15">
        <f t="shared" si="12"/>
        <v>0</v>
      </c>
    </row>
    <row r="410" ht="28.8" spans="1:10">
      <c r="A410" s="12" t="e">
        <f t="shared" si="13"/>
        <v>#REF!</v>
      </c>
      <c r="B410" s="12"/>
      <c r="C410" s="13" t="s">
        <v>955</v>
      </c>
      <c r="D410" s="14" t="s">
        <v>20</v>
      </c>
      <c r="E410" s="14" t="s">
        <v>337</v>
      </c>
      <c r="F410" s="13" t="s">
        <v>963</v>
      </c>
      <c r="G410" s="12" t="s">
        <v>23</v>
      </c>
      <c r="H410" s="15"/>
      <c r="I410" s="15"/>
      <c r="J410" s="15">
        <f t="shared" si="12"/>
        <v>0</v>
      </c>
    </row>
    <row r="411" ht="28.8" spans="1:10">
      <c r="A411" s="12" t="e">
        <f t="shared" si="13"/>
        <v>#REF!</v>
      </c>
      <c r="B411" s="12"/>
      <c r="C411" s="13" t="s">
        <v>955</v>
      </c>
      <c r="D411" s="14" t="s">
        <v>20</v>
      </c>
      <c r="E411" s="14" t="s">
        <v>337</v>
      </c>
      <c r="F411" s="13" t="s">
        <v>964</v>
      </c>
      <c r="G411" s="12" t="s">
        <v>23</v>
      </c>
      <c r="H411" s="15"/>
      <c r="I411" s="15"/>
      <c r="J411" s="15">
        <f t="shared" si="12"/>
        <v>0</v>
      </c>
    </row>
    <row r="412" ht="28.8" spans="1:10">
      <c r="A412" s="12" t="e">
        <f t="shared" si="13"/>
        <v>#REF!</v>
      </c>
      <c r="B412" s="12"/>
      <c r="C412" s="13" t="s">
        <v>955</v>
      </c>
      <c r="D412" s="14" t="s">
        <v>20</v>
      </c>
      <c r="E412" s="14" t="s">
        <v>114</v>
      </c>
      <c r="F412" s="13" t="s">
        <v>965</v>
      </c>
      <c r="G412" s="12" t="s">
        <v>49</v>
      </c>
      <c r="H412" s="15"/>
      <c r="I412" s="15"/>
      <c r="J412" s="15">
        <f t="shared" si="12"/>
        <v>0</v>
      </c>
    </row>
    <row r="413" ht="28.8" spans="1:10">
      <c r="A413" s="12" t="e">
        <f t="shared" si="13"/>
        <v>#REF!</v>
      </c>
      <c r="B413" s="12"/>
      <c r="C413" s="13" t="s">
        <v>955</v>
      </c>
      <c r="D413" s="14" t="s">
        <v>20</v>
      </c>
      <c r="E413" s="14" t="s">
        <v>114</v>
      </c>
      <c r="F413" s="13" t="s">
        <v>121</v>
      </c>
      <c r="G413" s="12" t="s">
        <v>49</v>
      </c>
      <c r="H413" s="15"/>
      <c r="I413" s="15"/>
      <c r="J413" s="15">
        <f t="shared" si="12"/>
        <v>0</v>
      </c>
    </row>
    <row r="414" ht="28.8" spans="1:10">
      <c r="A414" s="12" t="e">
        <f t="shared" si="13"/>
        <v>#REF!</v>
      </c>
      <c r="B414" s="12"/>
      <c r="C414" s="13" t="s">
        <v>955</v>
      </c>
      <c r="D414" s="14" t="s">
        <v>11</v>
      </c>
      <c r="E414" s="14" t="s">
        <v>613</v>
      </c>
      <c r="F414" s="13" t="s">
        <v>614</v>
      </c>
      <c r="G414" s="12" t="s">
        <v>108</v>
      </c>
      <c r="H414" s="15"/>
      <c r="I414" s="15"/>
      <c r="J414" s="15">
        <f t="shared" si="12"/>
        <v>0</v>
      </c>
    </row>
    <row r="415" ht="28.8" spans="1:10">
      <c r="A415" s="12" t="e">
        <f t="shared" si="13"/>
        <v>#REF!</v>
      </c>
      <c r="B415" s="12"/>
      <c r="C415" s="13" t="s">
        <v>955</v>
      </c>
      <c r="D415" s="14" t="s">
        <v>11</v>
      </c>
      <c r="E415" s="14" t="s">
        <v>613</v>
      </c>
      <c r="F415" s="13" t="s">
        <v>615</v>
      </c>
      <c r="G415" s="12" t="s">
        <v>108</v>
      </c>
      <c r="H415" s="15"/>
      <c r="I415" s="15"/>
      <c r="J415" s="15">
        <f t="shared" si="12"/>
        <v>0</v>
      </c>
    </row>
    <row r="416" ht="28.8" spans="1:10">
      <c r="A416" s="12" t="e">
        <f t="shared" si="13"/>
        <v>#REF!</v>
      </c>
      <c r="B416" s="12"/>
      <c r="C416" s="13" t="s">
        <v>967</v>
      </c>
      <c r="D416" s="14" t="s">
        <v>20</v>
      </c>
      <c r="E416" s="14" t="s">
        <v>47</v>
      </c>
      <c r="F416" s="13" t="s">
        <v>48</v>
      </c>
      <c r="G416" s="12" t="s">
        <v>49</v>
      </c>
      <c r="H416" s="15"/>
      <c r="I416" s="15"/>
      <c r="J416" s="15">
        <f t="shared" si="12"/>
        <v>0</v>
      </c>
    </row>
    <row r="417" ht="28.8" spans="1:10">
      <c r="A417" s="12" t="e">
        <f t="shared" si="13"/>
        <v>#REF!</v>
      </c>
      <c r="B417" s="12"/>
      <c r="C417" s="13" t="s">
        <v>967</v>
      </c>
      <c r="D417" s="14" t="s">
        <v>20</v>
      </c>
      <c r="E417" s="14" t="s">
        <v>624</v>
      </c>
      <c r="F417" s="13" t="s">
        <v>625</v>
      </c>
      <c r="G417" s="12" t="s">
        <v>23</v>
      </c>
      <c r="H417" s="15"/>
      <c r="I417" s="15"/>
      <c r="J417" s="15">
        <f t="shared" si="12"/>
        <v>0</v>
      </c>
    </row>
    <row r="418" ht="28.8" spans="1:10">
      <c r="A418" s="12" t="e">
        <f t="shared" si="13"/>
        <v>#REF!</v>
      </c>
      <c r="B418" s="12"/>
      <c r="C418" s="13" t="s">
        <v>967</v>
      </c>
      <c r="D418" s="14" t="s">
        <v>20</v>
      </c>
      <c r="E418" s="14" t="s">
        <v>624</v>
      </c>
      <c r="F418" s="13" t="s">
        <v>626</v>
      </c>
      <c r="G418" s="12" t="s">
        <v>23</v>
      </c>
      <c r="H418" s="15"/>
      <c r="I418" s="15"/>
      <c r="J418" s="15">
        <f t="shared" si="12"/>
        <v>0</v>
      </c>
    </row>
    <row r="419" ht="28.8" spans="1:10">
      <c r="A419" s="12" t="e">
        <f t="shared" si="13"/>
        <v>#REF!</v>
      </c>
      <c r="B419" s="12"/>
      <c r="C419" s="13" t="s">
        <v>967</v>
      </c>
      <c r="D419" s="14" t="s">
        <v>20</v>
      </c>
      <c r="E419" s="14" t="s">
        <v>624</v>
      </c>
      <c r="F419" s="13" t="s">
        <v>627</v>
      </c>
      <c r="G419" s="12" t="s">
        <v>23</v>
      </c>
      <c r="H419" s="15"/>
      <c r="I419" s="15"/>
      <c r="J419" s="15">
        <f t="shared" si="12"/>
        <v>0</v>
      </c>
    </row>
    <row r="420" ht="28.8" spans="1:10">
      <c r="A420" s="12" t="e">
        <f t="shared" si="13"/>
        <v>#REF!</v>
      </c>
      <c r="B420" s="12"/>
      <c r="C420" s="13" t="s">
        <v>967</v>
      </c>
      <c r="D420" s="14" t="s">
        <v>20</v>
      </c>
      <c r="E420" s="14" t="s">
        <v>624</v>
      </c>
      <c r="F420" s="13" t="s">
        <v>628</v>
      </c>
      <c r="G420" s="12" t="s">
        <v>23</v>
      </c>
      <c r="H420" s="15"/>
      <c r="I420" s="15"/>
      <c r="J420" s="15">
        <f t="shared" si="12"/>
        <v>0</v>
      </c>
    </row>
    <row r="421" ht="28.8" spans="1:10">
      <c r="A421" s="12" t="e">
        <f t="shared" si="13"/>
        <v>#REF!</v>
      </c>
      <c r="B421" s="12"/>
      <c r="C421" s="13" t="s">
        <v>967</v>
      </c>
      <c r="D421" s="14" t="s">
        <v>20</v>
      </c>
      <c r="E421" s="14" t="s">
        <v>624</v>
      </c>
      <c r="F421" s="13" t="s">
        <v>629</v>
      </c>
      <c r="G421" s="12" t="s">
        <v>23</v>
      </c>
      <c r="H421" s="15"/>
      <c r="I421" s="15"/>
      <c r="J421" s="15">
        <f t="shared" si="12"/>
        <v>0</v>
      </c>
    </row>
    <row r="422" ht="28.8" spans="1:10">
      <c r="A422" s="12" t="e">
        <f t="shared" si="13"/>
        <v>#REF!</v>
      </c>
      <c r="B422" s="12"/>
      <c r="C422" s="13" t="s">
        <v>967</v>
      </c>
      <c r="D422" s="14" t="s">
        <v>11</v>
      </c>
      <c r="E422" s="14" t="s">
        <v>630</v>
      </c>
      <c r="F422" s="13" t="s">
        <v>631</v>
      </c>
      <c r="G422" s="12" t="s">
        <v>17</v>
      </c>
      <c r="H422" s="15"/>
      <c r="I422" s="15"/>
      <c r="J422" s="15">
        <f t="shared" si="12"/>
        <v>0</v>
      </c>
    </row>
    <row r="423" ht="28.8" spans="1:10">
      <c r="A423" s="12" t="e">
        <f t="shared" si="13"/>
        <v>#REF!</v>
      </c>
      <c r="B423" s="12"/>
      <c r="C423" s="13" t="s">
        <v>969</v>
      </c>
      <c r="D423" s="14" t="s">
        <v>11</v>
      </c>
      <c r="E423" s="14" t="s">
        <v>634</v>
      </c>
      <c r="F423" s="13" t="s">
        <v>635</v>
      </c>
      <c r="G423" s="12" t="s">
        <v>23</v>
      </c>
      <c r="H423" s="15"/>
      <c r="I423" s="15"/>
      <c r="J423" s="15">
        <f t="shared" si="12"/>
        <v>0</v>
      </c>
    </row>
    <row r="424" ht="28.8" spans="1:10">
      <c r="A424" s="12" t="e">
        <f t="shared" si="13"/>
        <v>#REF!</v>
      </c>
      <c r="B424" s="12"/>
      <c r="C424" s="13" t="s">
        <v>969</v>
      </c>
      <c r="D424" s="14" t="s">
        <v>20</v>
      </c>
      <c r="E424" s="14" t="s">
        <v>636</v>
      </c>
      <c r="F424" s="13" t="s">
        <v>637</v>
      </c>
      <c r="G424" s="12" t="s">
        <v>23</v>
      </c>
      <c r="H424" s="15"/>
      <c r="I424" s="15"/>
      <c r="J424" s="15">
        <f t="shared" si="12"/>
        <v>0</v>
      </c>
    </row>
    <row r="425" ht="28.8" spans="1:10">
      <c r="A425" s="12" t="e">
        <f t="shared" si="13"/>
        <v>#REF!</v>
      </c>
      <c r="B425" s="12"/>
      <c r="C425" s="13" t="s">
        <v>971</v>
      </c>
      <c r="D425" s="14" t="s">
        <v>11</v>
      </c>
      <c r="E425" s="14" t="s">
        <v>634</v>
      </c>
      <c r="F425" s="13" t="s">
        <v>640</v>
      </c>
      <c r="G425" s="12" t="s">
        <v>23</v>
      </c>
      <c r="H425" s="15"/>
      <c r="I425" s="15"/>
      <c r="J425" s="15">
        <f t="shared" si="12"/>
        <v>0</v>
      </c>
    </row>
    <row r="426" ht="28.8" spans="1:10">
      <c r="A426" s="12" t="e">
        <f t="shared" si="13"/>
        <v>#REF!</v>
      </c>
      <c r="B426" s="12"/>
      <c r="C426" s="13" t="s">
        <v>971</v>
      </c>
      <c r="D426" s="14" t="s">
        <v>20</v>
      </c>
      <c r="E426" s="14" t="s">
        <v>636</v>
      </c>
      <c r="F426" s="13" t="s">
        <v>641</v>
      </c>
      <c r="G426" s="12" t="s">
        <v>23</v>
      </c>
      <c r="H426" s="15"/>
      <c r="I426" s="15"/>
      <c r="J426" s="15">
        <f t="shared" si="12"/>
        <v>0</v>
      </c>
    </row>
    <row r="427" ht="28.8" spans="1:10">
      <c r="A427" s="12" t="e">
        <f t="shared" si="13"/>
        <v>#REF!</v>
      </c>
      <c r="B427" s="12"/>
      <c r="C427" s="13" t="s">
        <v>973</v>
      </c>
      <c r="D427" s="14" t="s">
        <v>11</v>
      </c>
      <c r="E427" s="14" t="s">
        <v>634</v>
      </c>
      <c r="F427" s="13" t="s">
        <v>650</v>
      </c>
      <c r="G427" s="12" t="s">
        <v>23</v>
      </c>
      <c r="H427" s="15"/>
      <c r="I427" s="15"/>
      <c r="J427" s="15">
        <f t="shared" si="12"/>
        <v>0</v>
      </c>
    </row>
    <row r="428" ht="28.8" spans="1:10">
      <c r="A428" s="12" t="e">
        <f t="shared" si="13"/>
        <v>#REF!</v>
      </c>
      <c r="B428" s="12"/>
      <c r="C428" s="13" t="s">
        <v>973</v>
      </c>
      <c r="D428" s="14" t="s">
        <v>20</v>
      </c>
      <c r="E428" s="14" t="s">
        <v>636</v>
      </c>
      <c r="F428" s="13" t="s">
        <v>644</v>
      </c>
      <c r="G428" s="12" t="s">
        <v>23</v>
      </c>
      <c r="H428" s="15"/>
      <c r="I428" s="15"/>
      <c r="J428" s="15">
        <f t="shared" si="12"/>
        <v>0</v>
      </c>
    </row>
    <row r="429" ht="28.8" spans="1:10">
      <c r="A429" s="12" t="e">
        <f t="shared" si="13"/>
        <v>#REF!</v>
      </c>
      <c r="B429" s="12"/>
      <c r="C429" s="13" t="s">
        <v>975</v>
      </c>
      <c r="D429" s="14" t="s">
        <v>11</v>
      </c>
      <c r="E429" s="14" t="s">
        <v>634</v>
      </c>
      <c r="F429" s="13" t="s">
        <v>635</v>
      </c>
      <c r="G429" s="12" t="s">
        <v>23</v>
      </c>
      <c r="H429" s="15"/>
      <c r="I429" s="15"/>
      <c r="J429" s="15">
        <f t="shared" si="12"/>
        <v>0</v>
      </c>
    </row>
    <row r="430" ht="28.8" spans="1:10">
      <c r="A430" s="12" t="e">
        <f t="shared" si="13"/>
        <v>#REF!</v>
      </c>
      <c r="B430" s="12"/>
      <c r="C430" s="13" t="s">
        <v>975</v>
      </c>
      <c r="D430" s="14" t="s">
        <v>11</v>
      </c>
      <c r="E430" s="14" t="s">
        <v>634</v>
      </c>
      <c r="F430" s="13" t="s">
        <v>640</v>
      </c>
      <c r="G430" s="12" t="s">
        <v>23</v>
      </c>
      <c r="H430" s="15"/>
      <c r="I430" s="15"/>
      <c r="J430" s="15">
        <f t="shared" si="12"/>
        <v>0</v>
      </c>
    </row>
    <row r="431" ht="28.8" spans="1:10">
      <c r="A431" s="12" t="e">
        <f t="shared" si="13"/>
        <v>#REF!</v>
      </c>
      <c r="B431" s="12"/>
      <c r="C431" s="13" t="s">
        <v>975</v>
      </c>
      <c r="D431" s="14" t="s">
        <v>20</v>
      </c>
      <c r="E431" s="14" t="s">
        <v>636</v>
      </c>
      <c r="F431" s="13" t="s">
        <v>647</v>
      </c>
      <c r="G431" s="12" t="s">
        <v>23</v>
      </c>
      <c r="H431" s="15"/>
      <c r="I431" s="15"/>
      <c r="J431" s="15">
        <f t="shared" si="12"/>
        <v>0</v>
      </c>
    </row>
    <row r="432" ht="28.8" spans="1:10">
      <c r="A432" s="12" t="e">
        <f t="shared" si="13"/>
        <v>#REF!</v>
      </c>
      <c r="B432" s="12"/>
      <c r="C432" s="13" t="s">
        <v>977</v>
      </c>
      <c r="D432" s="14" t="s">
        <v>11</v>
      </c>
      <c r="E432" s="14" t="s">
        <v>634</v>
      </c>
      <c r="F432" s="13" t="s">
        <v>640</v>
      </c>
      <c r="G432" s="12" t="s">
        <v>23</v>
      </c>
      <c r="H432" s="15"/>
      <c r="I432" s="15"/>
      <c r="J432" s="15">
        <f t="shared" si="12"/>
        <v>0</v>
      </c>
    </row>
    <row r="433" ht="28.8" spans="1:10">
      <c r="A433" s="12" t="e">
        <f t="shared" si="13"/>
        <v>#REF!</v>
      </c>
      <c r="B433" s="12"/>
      <c r="C433" s="13" t="s">
        <v>977</v>
      </c>
      <c r="D433" s="14" t="s">
        <v>11</v>
      </c>
      <c r="E433" s="14" t="s">
        <v>634</v>
      </c>
      <c r="F433" s="13" t="s">
        <v>650</v>
      </c>
      <c r="G433" s="12" t="s">
        <v>23</v>
      </c>
      <c r="H433" s="15"/>
      <c r="I433" s="15"/>
      <c r="J433" s="15">
        <f t="shared" si="12"/>
        <v>0</v>
      </c>
    </row>
    <row r="434" ht="28.8" spans="1:10">
      <c r="A434" s="12" t="e">
        <f t="shared" si="13"/>
        <v>#REF!</v>
      </c>
      <c r="B434" s="12"/>
      <c r="C434" s="13" t="s">
        <v>977</v>
      </c>
      <c r="D434" s="14" t="s">
        <v>20</v>
      </c>
      <c r="E434" s="14" t="s">
        <v>636</v>
      </c>
      <c r="F434" s="13" t="s">
        <v>651</v>
      </c>
      <c r="G434" s="12" t="s">
        <v>23</v>
      </c>
      <c r="H434" s="15"/>
      <c r="I434" s="15"/>
      <c r="J434" s="15">
        <f t="shared" si="12"/>
        <v>0</v>
      </c>
    </row>
    <row r="435" ht="28.8" spans="1:10">
      <c r="A435" s="12" t="e">
        <f t="shared" si="13"/>
        <v>#REF!</v>
      </c>
      <c r="B435" s="12"/>
      <c r="C435" s="13" t="s">
        <v>979</v>
      </c>
      <c r="D435" s="14" t="s">
        <v>11</v>
      </c>
      <c r="E435" s="14" t="s">
        <v>634</v>
      </c>
      <c r="F435" s="13" t="s">
        <v>635</v>
      </c>
      <c r="G435" s="12" t="s">
        <v>23</v>
      </c>
      <c r="H435" s="15"/>
      <c r="I435" s="15"/>
      <c r="J435" s="15">
        <f t="shared" si="12"/>
        <v>0</v>
      </c>
    </row>
    <row r="436" ht="28.8" spans="1:10">
      <c r="A436" s="12" t="e">
        <f t="shared" si="13"/>
        <v>#REF!</v>
      </c>
      <c r="B436" s="12"/>
      <c r="C436" s="13" t="s">
        <v>979</v>
      </c>
      <c r="D436" s="14" t="s">
        <v>11</v>
      </c>
      <c r="E436" s="14" t="s">
        <v>634</v>
      </c>
      <c r="F436" s="13" t="s">
        <v>650</v>
      </c>
      <c r="G436" s="12" t="s">
        <v>23</v>
      </c>
      <c r="H436" s="15"/>
      <c r="I436" s="15"/>
      <c r="J436" s="15">
        <f t="shared" si="12"/>
        <v>0</v>
      </c>
    </row>
    <row r="437" ht="28.8" spans="1:10">
      <c r="A437" s="12" t="e">
        <f t="shared" si="13"/>
        <v>#REF!</v>
      </c>
      <c r="B437" s="12"/>
      <c r="C437" s="13" t="s">
        <v>979</v>
      </c>
      <c r="D437" s="14" t="s">
        <v>20</v>
      </c>
      <c r="E437" s="14" t="s">
        <v>636</v>
      </c>
      <c r="F437" s="13" t="s">
        <v>654</v>
      </c>
      <c r="G437" s="12" t="s">
        <v>23</v>
      </c>
      <c r="H437" s="15"/>
      <c r="I437" s="15"/>
      <c r="J437" s="15">
        <f t="shared" si="12"/>
        <v>0</v>
      </c>
    </row>
    <row r="438" spans="1:10">
      <c r="A438" s="12" t="e">
        <f t="shared" si="13"/>
        <v>#REF!</v>
      </c>
      <c r="B438" s="12"/>
      <c r="C438" s="13" t="s">
        <v>981</v>
      </c>
      <c r="D438" s="14" t="s">
        <v>11</v>
      </c>
      <c r="E438" s="14" t="s">
        <v>657</v>
      </c>
      <c r="F438" s="13" t="s">
        <v>658</v>
      </c>
      <c r="G438" s="12" t="s">
        <v>34</v>
      </c>
      <c r="H438" s="15"/>
      <c r="I438" s="15"/>
      <c r="J438" s="15">
        <f t="shared" si="12"/>
        <v>0</v>
      </c>
    </row>
    <row r="439" spans="1:10">
      <c r="A439" s="12" t="e">
        <f t="shared" si="13"/>
        <v>#REF!</v>
      </c>
      <c r="B439" s="12"/>
      <c r="C439" s="13" t="s">
        <v>983</v>
      </c>
      <c r="D439" s="14" t="s">
        <v>11</v>
      </c>
      <c r="E439" s="14" t="s">
        <v>12</v>
      </c>
      <c r="F439" s="13" t="s">
        <v>13</v>
      </c>
      <c r="G439" s="12" t="s">
        <v>14</v>
      </c>
      <c r="H439" s="15"/>
      <c r="I439" s="15"/>
      <c r="J439" s="15">
        <f t="shared" si="12"/>
        <v>0</v>
      </c>
    </row>
    <row r="440" spans="1:10">
      <c r="A440" s="12" t="e">
        <f t="shared" si="13"/>
        <v>#REF!</v>
      </c>
      <c r="B440" s="12"/>
      <c r="C440" s="13" t="s">
        <v>983</v>
      </c>
      <c r="D440" s="14" t="s">
        <v>11</v>
      </c>
      <c r="E440" s="14" t="s">
        <v>12</v>
      </c>
      <c r="F440" s="13" t="s">
        <v>15</v>
      </c>
      <c r="G440" s="12" t="s">
        <v>14</v>
      </c>
      <c r="H440" s="15"/>
      <c r="I440" s="15"/>
      <c r="J440" s="15">
        <f t="shared" si="12"/>
        <v>0</v>
      </c>
    </row>
    <row r="441" spans="1:10">
      <c r="A441" s="12" t="e">
        <f t="shared" si="13"/>
        <v>#REF!</v>
      </c>
      <c r="B441" s="12"/>
      <c r="C441" s="13" t="s">
        <v>983</v>
      </c>
      <c r="D441" s="14" t="s">
        <v>11</v>
      </c>
      <c r="E441" s="14" t="s">
        <v>12</v>
      </c>
      <c r="F441" s="13" t="s">
        <v>28</v>
      </c>
      <c r="G441" s="12" t="s">
        <v>14</v>
      </c>
      <c r="H441" s="15"/>
      <c r="I441" s="15"/>
      <c r="J441" s="15">
        <f t="shared" si="12"/>
        <v>0</v>
      </c>
    </row>
    <row r="442" spans="1:10">
      <c r="A442" s="12" t="e">
        <f t="shared" si="13"/>
        <v>#REF!</v>
      </c>
      <c r="B442" s="12"/>
      <c r="C442" s="13" t="s">
        <v>983</v>
      </c>
      <c r="D442" s="14" t="s">
        <v>20</v>
      </c>
      <c r="E442" s="14" t="s">
        <v>106</v>
      </c>
      <c r="F442" s="13" t="s">
        <v>107</v>
      </c>
      <c r="G442" s="12" t="s">
        <v>108</v>
      </c>
      <c r="H442" s="15"/>
      <c r="I442" s="15"/>
      <c r="J442" s="15">
        <f t="shared" si="12"/>
        <v>0</v>
      </c>
    </row>
    <row r="443" spans="1:10">
      <c r="A443" s="12" t="e">
        <f t="shared" si="13"/>
        <v>#REF!</v>
      </c>
      <c r="B443" s="12"/>
      <c r="C443" s="13" t="s">
        <v>983</v>
      </c>
      <c r="D443" s="14" t="s">
        <v>20</v>
      </c>
      <c r="E443" s="14" t="s">
        <v>596</v>
      </c>
      <c r="F443" s="13" t="s">
        <v>597</v>
      </c>
      <c r="G443" s="12" t="s">
        <v>46</v>
      </c>
      <c r="H443" s="15"/>
      <c r="I443" s="15"/>
      <c r="J443" s="15">
        <f t="shared" si="12"/>
        <v>0</v>
      </c>
    </row>
    <row r="444" spans="1:10">
      <c r="A444" s="12" t="e">
        <f t="shared" si="13"/>
        <v>#REF!</v>
      </c>
      <c r="B444" s="12"/>
      <c r="C444" s="13" t="s">
        <v>985</v>
      </c>
      <c r="D444" s="14" t="s">
        <v>11</v>
      </c>
      <c r="E444" s="14" t="s">
        <v>12</v>
      </c>
      <c r="F444" s="13" t="s">
        <v>13</v>
      </c>
      <c r="G444" s="12" t="s">
        <v>14</v>
      </c>
      <c r="H444" s="15"/>
      <c r="I444" s="15"/>
      <c r="J444" s="15">
        <f t="shared" si="12"/>
        <v>0</v>
      </c>
    </row>
    <row r="445" spans="1:10">
      <c r="A445" s="12" t="e">
        <f t="shared" si="13"/>
        <v>#REF!</v>
      </c>
      <c r="B445" s="12"/>
      <c r="C445" s="13" t="s">
        <v>985</v>
      </c>
      <c r="D445" s="14" t="s">
        <v>11</v>
      </c>
      <c r="E445" s="14" t="s">
        <v>12</v>
      </c>
      <c r="F445" s="13" t="s">
        <v>15</v>
      </c>
      <c r="G445" s="12" t="s">
        <v>14</v>
      </c>
      <c r="H445" s="15"/>
      <c r="I445" s="15"/>
      <c r="J445" s="15">
        <f t="shared" si="12"/>
        <v>0</v>
      </c>
    </row>
    <row r="446" spans="1:10">
      <c r="A446" s="12" t="e">
        <f t="shared" si="13"/>
        <v>#REF!</v>
      </c>
      <c r="B446" s="12"/>
      <c r="C446" s="13" t="s">
        <v>985</v>
      </c>
      <c r="D446" s="14" t="s">
        <v>11</v>
      </c>
      <c r="E446" s="14" t="s">
        <v>12</v>
      </c>
      <c r="F446" s="13" t="s">
        <v>28</v>
      </c>
      <c r="G446" s="12" t="s">
        <v>14</v>
      </c>
      <c r="H446" s="15"/>
      <c r="I446" s="15"/>
      <c r="J446" s="15">
        <f t="shared" si="12"/>
        <v>0</v>
      </c>
    </row>
    <row r="447" spans="1:10">
      <c r="A447" s="12" t="e">
        <f t="shared" si="13"/>
        <v>#REF!</v>
      </c>
      <c r="B447" s="12"/>
      <c r="C447" s="13" t="s">
        <v>985</v>
      </c>
      <c r="D447" s="14" t="s">
        <v>20</v>
      </c>
      <c r="E447" s="14" t="s">
        <v>106</v>
      </c>
      <c r="F447" s="13" t="s">
        <v>107</v>
      </c>
      <c r="G447" s="12" t="s">
        <v>108</v>
      </c>
      <c r="H447" s="15"/>
      <c r="I447" s="15"/>
      <c r="J447" s="15">
        <f t="shared" si="12"/>
        <v>0</v>
      </c>
    </row>
    <row r="448" spans="1:10">
      <c r="A448" s="12" t="e">
        <f t="shared" si="13"/>
        <v>#REF!</v>
      </c>
      <c r="B448" s="12"/>
      <c r="C448" s="13" t="s">
        <v>987</v>
      </c>
      <c r="D448" s="14" t="s">
        <v>11</v>
      </c>
      <c r="E448" s="14" t="s">
        <v>665</v>
      </c>
      <c r="F448" s="13" t="s">
        <v>666</v>
      </c>
      <c r="G448" s="12" t="s">
        <v>34</v>
      </c>
      <c r="H448" s="15"/>
      <c r="I448" s="15"/>
      <c r="J448" s="15">
        <f t="shared" si="12"/>
        <v>0</v>
      </c>
    </row>
    <row r="449" spans="1:10">
      <c r="A449" s="12" t="e">
        <f t="shared" si="13"/>
        <v>#REF!</v>
      </c>
      <c r="B449" s="12"/>
      <c r="C449" s="13" t="s">
        <v>987</v>
      </c>
      <c r="D449" s="14" t="s">
        <v>11</v>
      </c>
      <c r="E449" s="14" t="s">
        <v>12</v>
      </c>
      <c r="F449" s="13" t="s">
        <v>13</v>
      </c>
      <c r="G449" s="12" t="s">
        <v>14</v>
      </c>
      <c r="H449" s="15"/>
      <c r="I449" s="15"/>
      <c r="J449" s="15">
        <f t="shared" si="12"/>
        <v>0</v>
      </c>
    </row>
    <row r="450" spans="1:10">
      <c r="A450" s="12" t="e">
        <f t="shared" si="13"/>
        <v>#REF!</v>
      </c>
      <c r="B450" s="12"/>
      <c r="C450" s="13" t="s">
        <v>987</v>
      </c>
      <c r="D450" s="14" t="s">
        <v>11</v>
      </c>
      <c r="E450" s="14" t="s">
        <v>12</v>
      </c>
      <c r="F450" s="13" t="s">
        <v>15</v>
      </c>
      <c r="G450" s="12" t="s">
        <v>14</v>
      </c>
      <c r="H450" s="15"/>
      <c r="I450" s="15"/>
      <c r="J450" s="15">
        <f t="shared" si="12"/>
        <v>0</v>
      </c>
    </row>
    <row r="451" spans="1:10">
      <c r="A451" s="12" t="e">
        <f t="shared" si="13"/>
        <v>#REF!</v>
      </c>
      <c r="B451" s="12"/>
      <c r="C451" s="13" t="s">
        <v>987</v>
      </c>
      <c r="D451" s="14" t="s">
        <v>11</v>
      </c>
      <c r="E451" s="14" t="s">
        <v>12</v>
      </c>
      <c r="F451" s="13" t="s">
        <v>28</v>
      </c>
      <c r="G451" s="12" t="s">
        <v>14</v>
      </c>
      <c r="H451" s="15"/>
      <c r="I451" s="15"/>
      <c r="J451" s="15">
        <f t="shared" si="12"/>
        <v>0</v>
      </c>
    </row>
    <row r="452" ht="28.8" spans="1:10">
      <c r="A452" s="12" t="e">
        <f t="shared" si="13"/>
        <v>#REF!</v>
      </c>
      <c r="B452" s="12"/>
      <c r="C452" s="13" t="s">
        <v>987</v>
      </c>
      <c r="D452" s="14" t="s">
        <v>20</v>
      </c>
      <c r="E452" s="14" t="s">
        <v>59</v>
      </c>
      <c r="F452" s="13" t="s">
        <v>667</v>
      </c>
      <c r="G452" s="12" t="s">
        <v>49</v>
      </c>
      <c r="H452" s="15"/>
      <c r="I452" s="15"/>
      <c r="J452" s="15">
        <f t="shared" ref="J452:J473" si="14">+ROUND(PRODUCT(H452*I452),0)</f>
        <v>0</v>
      </c>
    </row>
    <row r="453" spans="1:10">
      <c r="A453" s="12" t="e">
        <f t="shared" ref="A453:A473" si="15">1+A452</f>
        <v>#REF!</v>
      </c>
      <c r="B453" s="12"/>
      <c r="C453" s="13" t="s">
        <v>987</v>
      </c>
      <c r="D453" s="14" t="s">
        <v>20</v>
      </c>
      <c r="E453" s="14" t="s">
        <v>59</v>
      </c>
      <c r="F453" s="13" t="s">
        <v>668</v>
      </c>
      <c r="G453" s="12" t="s">
        <v>49</v>
      </c>
      <c r="H453" s="15"/>
      <c r="I453" s="15"/>
      <c r="J453" s="15">
        <f t="shared" si="14"/>
        <v>0</v>
      </c>
    </row>
    <row r="454" spans="1:10">
      <c r="A454" s="12" t="e">
        <f t="shared" si="15"/>
        <v>#REF!</v>
      </c>
      <c r="B454" s="12"/>
      <c r="C454" s="13" t="s">
        <v>987</v>
      </c>
      <c r="D454" s="14" t="s">
        <v>20</v>
      </c>
      <c r="E454" s="14" t="s">
        <v>59</v>
      </c>
      <c r="F454" s="13" t="s">
        <v>60</v>
      </c>
      <c r="G454" s="12" t="s">
        <v>49</v>
      </c>
      <c r="H454" s="15"/>
      <c r="I454" s="15"/>
      <c r="J454" s="15">
        <f t="shared" si="14"/>
        <v>0</v>
      </c>
    </row>
    <row r="455" spans="1:10">
      <c r="A455" s="12" t="e">
        <f t="shared" si="15"/>
        <v>#REF!</v>
      </c>
      <c r="B455" s="12"/>
      <c r="C455" s="13" t="s">
        <v>987</v>
      </c>
      <c r="D455" s="14" t="s">
        <v>20</v>
      </c>
      <c r="E455" s="14" t="s">
        <v>59</v>
      </c>
      <c r="F455" s="13" t="s">
        <v>988</v>
      </c>
      <c r="G455" s="12" t="s">
        <v>49</v>
      </c>
      <c r="H455" s="15"/>
      <c r="I455" s="15"/>
      <c r="J455" s="15">
        <f t="shared" si="14"/>
        <v>0</v>
      </c>
    </row>
    <row r="456" spans="1:10">
      <c r="A456" s="12" t="e">
        <f t="shared" si="15"/>
        <v>#REF!</v>
      </c>
      <c r="B456" s="12"/>
      <c r="C456" s="13" t="s">
        <v>987</v>
      </c>
      <c r="D456" s="14" t="s">
        <v>20</v>
      </c>
      <c r="E456" s="14" t="s">
        <v>59</v>
      </c>
      <c r="F456" s="13" t="s">
        <v>989</v>
      </c>
      <c r="G456" s="12" t="s">
        <v>49</v>
      </c>
      <c r="H456" s="15"/>
      <c r="I456" s="15"/>
      <c r="J456" s="15">
        <f t="shared" si="14"/>
        <v>0</v>
      </c>
    </row>
    <row r="457" spans="1:10">
      <c r="A457" s="12" t="e">
        <f t="shared" si="15"/>
        <v>#REF!</v>
      </c>
      <c r="B457" s="12"/>
      <c r="C457" s="13" t="s">
        <v>987</v>
      </c>
      <c r="D457" s="14" t="s">
        <v>20</v>
      </c>
      <c r="E457" s="14" t="s">
        <v>106</v>
      </c>
      <c r="F457" s="13" t="s">
        <v>838</v>
      </c>
      <c r="G457" s="12" t="s">
        <v>108</v>
      </c>
      <c r="H457" s="15"/>
      <c r="I457" s="15"/>
      <c r="J457" s="15">
        <f t="shared" si="14"/>
        <v>0</v>
      </c>
    </row>
    <row r="458" spans="1:10">
      <c r="A458" s="12" t="e">
        <f t="shared" si="15"/>
        <v>#REF!</v>
      </c>
      <c r="B458" s="12"/>
      <c r="C458" s="13" t="s">
        <v>991</v>
      </c>
      <c r="D458" s="14" t="s">
        <v>11</v>
      </c>
      <c r="E458" s="14" t="s">
        <v>12</v>
      </c>
      <c r="F458" s="13" t="s">
        <v>13</v>
      </c>
      <c r="G458" s="12" t="s">
        <v>14</v>
      </c>
      <c r="H458" s="15"/>
      <c r="I458" s="15"/>
      <c r="J458" s="15">
        <f t="shared" si="14"/>
        <v>0</v>
      </c>
    </row>
    <row r="459" spans="1:10">
      <c r="A459" s="12" t="e">
        <f t="shared" si="15"/>
        <v>#REF!</v>
      </c>
      <c r="B459" s="12"/>
      <c r="C459" s="13" t="s">
        <v>991</v>
      </c>
      <c r="D459" s="14" t="s">
        <v>11</v>
      </c>
      <c r="E459" s="14" t="s">
        <v>12</v>
      </c>
      <c r="F459" s="13" t="s">
        <v>15</v>
      </c>
      <c r="G459" s="12" t="s">
        <v>14</v>
      </c>
      <c r="H459" s="15"/>
      <c r="I459" s="15"/>
      <c r="J459" s="15">
        <f t="shared" si="14"/>
        <v>0</v>
      </c>
    </row>
    <row r="460" spans="1:10">
      <c r="A460" s="12" t="e">
        <f t="shared" si="15"/>
        <v>#REF!</v>
      </c>
      <c r="B460" s="12"/>
      <c r="C460" s="13" t="s">
        <v>991</v>
      </c>
      <c r="D460" s="14" t="s">
        <v>11</v>
      </c>
      <c r="E460" s="14" t="s">
        <v>12</v>
      </c>
      <c r="F460" s="13" t="s">
        <v>28</v>
      </c>
      <c r="G460" s="12" t="s">
        <v>14</v>
      </c>
      <c r="H460" s="15"/>
      <c r="I460" s="15"/>
      <c r="J460" s="15">
        <f t="shared" si="14"/>
        <v>0</v>
      </c>
    </row>
    <row r="461" spans="1:10">
      <c r="A461" s="12" t="e">
        <f t="shared" si="15"/>
        <v>#REF!</v>
      </c>
      <c r="B461" s="12"/>
      <c r="C461" s="13" t="s">
        <v>991</v>
      </c>
      <c r="D461" s="14" t="s">
        <v>20</v>
      </c>
      <c r="E461" s="14" t="s">
        <v>59</v>
      </c>
      <c r="F461" s="13" t="s">
        <v>992</v>
      </c>
      <c r="G461" s="12" t="s">
        <v>49</v>
      </c>
      <c r="H461" s="15"/>
      <c r="I461" s="15"/>
      <c r="J461" s="15">
        <f t="shared" si="14"/>
        <v>0</v>
      </c>
    </row>
    <row r="462" ht="28.8" spans="1:10">
      <c r="A462" s="12" t="e">
        <f t="shared" si="15"/>
        <v>#REF!</v>
      </c>
      <c r="B462" s="12"/>
      <c r="C462" s="13" t="s">
        <v>991</v>
      </c>
      <c r="D462" s="14" t="s">
        <v>20</v>
      </c>
      <c r="E462" s="14" t="s">
        <v>59</v>
      </c>
      <c r="F462" s="13" t="s">
        <v>667</v>
      </c>
      <c r="G462" s="12" t="s">
        <v>49</v>
      </c>
      <c r="H462" s="15"/>
      <c r="I462" s="15"/>
      <c r="J462" s="15">
        <f t="shared" si="14"/>
        <v>0</v>
      </c>
    </row>
    <row r="463" spans="1:10">
      <c r="A463" s="12" t="e">
        <f t="shared" si="15"/>
        <v>#REF!</v>
      </c>
      <c r="B463" s="12"/>
      <c r="C463" s="13" t="s">
        <v>991</v>
      </c>
      <c r="D463" s="14" t="s">
        <v>20</v>
      </c>
      <c r="E463" s="14" t="s">
        <v>59</v>
      </c>
      <c r="F463" s="13" t="s">
        <v>668</v>
      </c>
      <c r="G463" s="12" t="s">
        <v>49</v>
      </c>
      <c r="H463" s="15"/>
      <c r="I463" s="15"/>
      <c r="J463" s="15">
        <f t="shared" si="14"/>
        <v>0</v>
      </c>
    </row>
    <row r="464" spans="1:10">
      <c r="A464" s="12" t="e">
        <f t="shared" si="15"/>
        <v>#REF!</v>
      </c>
      <c r="B464" s="12"/>
      <c r="C464" s="13" t="s">
        <v>991</v>
      </c>
      <c r="D464" s="14" t="s">
        <v>20</v>
      </c>
      <c r="E464" s="14" t="s">
        <v>59</v>
      </c>
      <c r="F464" s="13" t="s">
        <v>60</v>
      </c>
      <c r="G464" s="12" t="s">
        <v>49</v>
      </c>
      <c r="H464" s="15"/>
      <c r="I464" s="15"/>
      <c r="J464" s="15">
        <f t="shared" si="14"/>
        <v>0</v>
      </c>
    </row>
    <row r="465" spans="1:10">
      <c r="A465" s="12" t="e">
        <f t="shared" si="15"/>
        <v>#REF!</v>
      </c>
      <c r="B465" s="12"/>
      <c r="C465" s="13" t="s">
        <v>991</v>
      </c>
      <c r="D465" s="14" t="s">
        <v>20</v>
      </c>
      <c r="E465" s="14" t="s">
        <v>59</v>
      </c>
      <c r="F465" s="13" t="s">
        <v>988</v>
      </c>
      <c r="G465" s="12" t="s">
        <v>49</v>
      </c>
      <c r="H465" s="15"/>
      <c r="I465" s="15"/>
      <c r="J465" s="15">
        <f t="shared" si="14"/>
        <v>0</v>
      </c>
    </row>
    <row r="466" spans="1:10">
      <c r="A466" s="12" t="e">
        <f t="shared" si="15"/>
        <v>#REF!</v>
      </c>
      <c r="B466" s="12"/>
      <c r="C466" s="13" t="s">
        <v>991</v>
      </c>
      <c r="D466" s="14" t="s">
        <v>20</v>
      </c>
      <c r="E466" s="14" t="s">
        <v>59</v>
      </c>
      <c r="F466" s="13" t="s">
        <v>989</v>
      </c>
      <c r="G466" s="12" t="s">
        <v>49</v>
      </c>
      <c r="H466" s="15"/>
      <c r="I466" s="15"/>
      <c r="J466" s="15">
        <f t="shared" si="14"/>
        <v>0</v>
      </c>
    </row>
    <row r="467" spans="1:10">
      <c r="A467" s="12" t="e">
        <f t="shared" si="15"/>
        <v>#REF!</v>
      </c>
      <c r="B467" s="12"/>
      <c r="C467" s="13" t="s">
        <v>991</v>
      </c>
      <c r="D467" s="14" t="s">
        <v>20</v>
      </c>
      <c r="E467" s="14" t="s">
        <v>106</v>
      </c>
      <c r="F467" s="13" t="s">
        <v>873</v>
      </c>
      <c r="G467" s="12" t="s">
        <v>108</v>
      </c>
      <c r="H467" s="15"/>
      <c r="I467" s="15"/>
      <c r="J467" s="15">
        <f t="shared" si="14"/>
        <v>0</v>
      </c>
    </row>
    <row r="468" ht="28.8" spans="1:10">
      <c r="A468" s="12" t="e">
        <f t="shared" si="15"/>
        <v>#REF!</v>
      </c>
      <c r="B468" s="12"/>
      <c r="C468" s="13" t="s">
        <v>994</v>
      </c>
      <c r="D468" s="14" t="s">
        <v>11</v>
      </c>
      <c r="E468" s="14" t="s">
        <v>618</v>
      </c>
      <c r="F468" s="13" t="s">
        <v>619</v>
      </c>
      <c r="G468" s="12" t="s">
        <v>23</v>
      </c>
      <c r="H468" s="15"/>
      <c r="I468" s="15"/>
      <c r="J468" s="15">
        <f t="shared" si="14"/>
        <v>0</v>
      </c>
    </row>
    <row r="469" ht="28.8" spans="1:10">
      <c r="A469" s="12" t="e">
        <f t="shared" si="15"/>
        <v>#REF!</v>
      </c>
      <c r="B469" s="12"/>
      <c r="C469" s="13" t="s">
        <v>994</v>
      </c>
      <c r="D469" s="14" t="s">
        <v>11</v>
      </c>
      <c r="E469" s="14" t="s">
        <v>618</v>
      </c>
      <c r="F469" s="13" t="s">
        <v>620</v>
      </c>
      <c r="G469" s="12" t="s">
        <v>23</v>
      </c>
      <c r="H469" s="15"/>
      <c r="I469" s="15"/>
      <c r="J469" s="15">
        <f t="shared" si="14"/>
        <v>0</v>
      </c>
    </row>
    <row r="470" ht="28.8" spans="1:10">
      <c r="A470" s="12" t="e">
        <f t="shared" si="15"/>
        <v>#REF!</v>
      </c>
      <c r="B470" s="12"/>
      <c r="C470" s="13" t="s">
        <v>994</v>
      </c>
      <c r="D470" s="14" t="s">
        <v>11</v>
      </c>
      <c r="E470" s="14" t="s">
        <v>618</v>
      </c>
      <c r="F470" s="13" t="s">
        <v>621</v>
      </c>
      <c r="G470" s="12" t="s">
        <v>23</v>
      </c>
      <c r="H470" s="15"/>
      <c r="I470" s="15"/>
      <c r="J470" s="15">
        <f t="shared" si="14"/>
        <v>0</v>
      </c>
    </row>
    <row r="471" ht="28.8" spans="1:10">
      <c r="A471" s="12" t="e">
        <f t="shared" si="15"/>
        <v>#REF!</v>
      </c>
      <c r="B471" s="12"/>
      <c r="C471" s="13" t="s">
        <v>996</v>
      </c>
      <c r="D471" s="14" t="s">
        <v>11</v>
      </c>
      <c r="E471" s="14" t="s">
        <v>12</v>
      </c>
      <c r="F471" s="13" t="s">
        <v>13</v>
      </c>
      <c r="G471" s="12" t="s">
        <v>14</v>
      </c>
      <c r="H471" s="15"/>
      <c r="I471" s="15"/>
      <c r="J471" s="15">
        <f t="shared" si="14"/>
        <v>0</v>
      </c>
    </row>
    <row r="472" ht="28.8" spans="1:10">
      <c r="A472" s="12" t="e">
        <f t="shared" si="15"/>
        <v>#REF!</v>
      </c>
      <c r="B472" s="12"/>
      <c r="C472" s="13" t="s">
        <v>996</v>
      </c>
      <c r="D472" s="14" t="s">
        <v>20</v>
      </c>
      <c r="E472" s="14" t="s">
        <v>576</v>
      </c>
      <c r="F472" s="13" t="s">
        <v>918</v>
      </c>
      <c r="G472" s="12" t="s">
        <v>100</v>
      </c>
      <c r="H472" s="15"/>
      <c r="I472" s="15"/>
      <c r="J472" s="15">
        <f t="shared" si="14"/>
        <v>0</v>
      </c>
    </row>
    <row r="473" ht="33" customHeight="1" spans="1:10">
      <c r="A473" s="12" t="e">
        <f t="shared" si="15"/>
        <v>#REF!</v>
      </c>
      <c r="B473" s="12"/>
      <c r="C473" s="13" t="s">
        <v>996</v>
      </c>
      <c r="D473" s="14" t="s">
        <v>20</v>
      </c>
      <c r="E473" s="14" t="s">
        <v>112</v>
      </c>
      <c r="F473" s="13" t="s">
        <v>113</v>
      </c>
      <c r="G473" s="12" t="s">
        <v>46</v>
      </c>
      <c r="H473" s="15"/>
      <c r="I473" s="15"/>
      <c r="J473" s="15">
        <f t="shared" si="14"/>
        <v>0</v>
      </c>
    </row>
    <row r="474" ht="33" customHeight="1" spans="1:10">
      <c r="A474" s="8"/>
      <c r="B474" s="8"/>
      <c r="C474" s="9"/>
      <c r="D474" s="10"/>
      <c r="E474" s="10"/>
      <c r="F474" s="9"/>
      <c r="G474" s="8"/>
      <c r="H474" s="11"/>
      <c r="I474" s="11"/>
      <c r="J474" s="11"/>
    </row>
    <row r="475" spans="1:10">
      <c r="A475" s="12" t="e">
        <f>1+#REF!</f>
        <v>#REF!</v>
      </c>
      <c r="B475" s="12"/>
      <c r="C475" s="13" t="s">
        <v>1030</v>
      </c>
      <c r="D475" s="14" t="s">
        <v>11</v>
      </c>
      <c r="E475" s="14" t="s">
        <v>665</v>
      </c>
      <c r="F475" s="13" t="s">
        <v>666</v>
      </c>
      <c r="G475" s="12" t="s">
        <v>34</v>
      </c>
      <c r="H475" s="15"/>
      <c r="I475" s="15"/>
      <c r="J475" s="15">
        <f t="shared" ref="J475:J506" si="16">+ROUND(PRODUCT(H475*I475),0)</f>
        <v>0</v>
      </c>
    </row>
    <row r="476" spans="1:10">
      <c r="A476" s="12" t="e">
        <f t="shared" ref="A475:A502" si="17">1+A475</f>
        <v>#REF!</v>
      </c>
      <c r="B476" s="12"/>
      <c r="C476" s="13" t="s">
        <v>1030</v>
      </c>
      <c r="D476" s="14" t="s">
        <v>11</v>
      </c>
      <c r="E476" s="14" t="s">
        <v>12</v>
      </c>
      <c r="F476" s="13" t="s">
        <v>13</v>
      </c>
      <c r="G476" s="12" t="s">
        <v>14</v>
      </c>
      <c r="H476" s="15"/>
      <c r="I476" s="15"/>
      <c r="J476" s="15">
        <f t="shared" si="16"/>
        <v>0</v>
      </c>
    </row>
    <row r="477" spans="1:10">
      <c r="A477" s="12" t="e">
        <f t="shared" si="17"/>
        <v>#REF!</v>
      </c>
      <c r="B477" s="12"/>
      <c r="C477" s="13" t="s">
        <v>1030</v>
      </c>
      <c r="D477" s="14" t="s">
        <v>11</v>
      </c>
      <c r="E477" s="14" t="s">
        <v>12</v>
      </c>
      <c r="F477" s="13" t="s">
        <v>15</v>
      </c>
      <c r="G477" s="12" t="s">
        <v>14</v>
      </c>
      <c r="H477" s="15"/>
      <c r="I477" s="15"/>
      <c r="J477" s="15">
        <f t="shared" si="16"/>
        <v>0</v>
      </c>
    </row>
    <row r="478" spans="1:10">
      <c r="A478" s="12" t="e">
        <f t="shared" si="17"/>
        <v>#REF!</v>
      </c>
      <c r="B478" s="12"/>
      <c r="C478" s="13" t="s">
        <v>1030</v>
      </c>
      <c r="D478" s="14" t="s">
        <v>11</v>
      </c>
      <c r="E478" s="14" t="s">
        <v>12</v>
      </c>
      <c r="F478" s="13" t="s">
        <v>28</v>
      </c>
      <c r="G478" s="12" t="s">
        <v>14</v>
      </c>
      <c r="H478" s="15"/>
      <c r="I478" s="15"/>
      <c r="J478" s="15">
        <f t="shared" si="16"/>
        <v>0</v>
      </c>
    </row>
    <row r="479" ht="28.8" spans="1:10">
      <c r="A479" s="12" t="e">
        <f t="shared" si="17"/>
        <v>#REF!</v>
      </c>
      <c r="B479" s="12"/>
      <c r="C479" s="13" t="s">
        <v>1030</v>
      </c>
      <c r="D479" s="14" t="s">
        <v>20</v>
      </c>
      <c r="E479" s="14" t="s">
        <v>59</v>
      </c>
      <c r="F479" s="13" t="s">
        <v>667</v>
      </c>
      <c r="G479" s="12" t="s">
        <v>49</v>
      </c>
      <c r="H479" s="15"/>
      <c r="I479" s="15"/>
      <c r="J479" s="15">
        <f t="shared" si="16"/>
        <v>0</v>
      </c>
    </row>
    <row r="480" spans="1:10">
      <c r="A480" s="12" t="e">
        <f t="shared" si="17"/>
        <v>#REF!</v>
      </c>
      <c r="B480" s="12"/>
      <c r="C480" s="13" t="s">
        <v>1030</v>
      </c>
      <c r="D480" s="14" t="s">
        <v>20</v>
      </c>
      <c r="E480" s="14" t="s">
        <v>59</v>
      </c>
      <c r="F480" s="13" t="s">
        <v>668</v>
      </c>
      <c r="G480" s="12" t="s">
        <v>49</v>
      </c>
      <c r="H480" s="15"/>
      <c r="I480" s="15"/>
      <c r="J480" s="15">
        <f t="shared" si="16"/>
        <v>0</v>
      </c>
    </row>
    <row r="481" spans="1:10">
      <c r="A481" s="12" t="e">
        <f t="shared" si="17"/>
        <v>#REF!</v>
      </c>
      <c r="B481" s="12"/>
      <c r="C481" s="13" t="s">
        <v>1030</v>
      </c>
      <c r="D481" s="14" t="s">
        <v>20</v>
      </c>
      <c r="E481" s="14" t="s">
        <v>59</v>
      </c>
      <c r="F481" s="13" t="s">
        <v>60</v>
      </c>
      <c r="G481" s="12" t="s">
        <v>49</v>
      </c>
      <c r="H481" s="15"/>
      <c r="I481" s="15"/>
      <c r="J481" s="15">
        <f t="shared" si="16"/>
        <v>0</v>
      </c>
    </row>
    <row r="482" spans="1:10">
      <c r="A482" s="12" t="e">
        <f t="shared" si="17"/>
        <v>#REF!</v>
      </c>
      <c r="B482" s="12"/>
      <c r="C482" s="13" t="s">
        <v>1030</v>
      </c>
      <c r="D482" s="14" t="s">
        <v>20</v>
      </c>
      <c r="E482" s="14" t="s">
        <v>106</v>
      </c>
      <c r="F482" s="13" t="s">
        <v>669</v>
      </c>
      <c r="G482" s="12" t="s">
        <v>108</v>
      </c>
      <c r="H482" s="15"/>
      <c r="I482" s="15"/>
      <c r="J482" s="15">
        <f t="shared" si="16"/>
        <v>0</v>
      </c>
    </row>
    <row r="483" ht="28.8" spans="1:10">
      <c r="A483" s="12" t="e">
        <f t="shared" si="17"/>
        <v>#REF!</v>
      </c>
      <c r="B483" s="12"/>
      <c r="C483" s="13" t="s">
        <v>1032</v>
      </c>
      <c r="D483" s="14" t="s">
        <v>11</v>
      </c>
      <c r="E483" s="14" t="s">
        <v>24</v>
      </c>
      <c r="F483" s="13" t="s">
        <v>604</v>
      </c>
      <c r="G483" s="12" t="s">
        <v>34</v>
      </c>
      <c r="H483" s="15"/>
      <c r="I483" s="15"/>
      <c r="J483" s="15">
        <f t="shared" si="16"/>
        <v>0</v>
      </c>
    </row>
    <row r="484" ht="28.8" spans="1:10">
      <c r="A484" s="12" t="e">
        <f t="shared" si="17"/>
        <v>#REF!</v>
      </c>
      <c r="B484" s="12"/>
      <c r="C484" s="13" t="s">
        <v>1032</v>
      </c>
      <c r="D484" s="14" t="s">
        <v>11</v>
      </c>
      <c r="E484" s="14" t="s">
        <v>24</v>
      </c>
      <c r="F484" s="13" t="s">
        <v>605</v>
      </c>
      <c r="G484" s="12" t="s">
        <v>34</v>
      </c>
      <c r="H484" s="15"/>
      <c r="I484" s="15"/>
      <c r="J484" s="15">
        <f t="shared" si="16"/>
        <v>0</v>
      </c>
    </row>
    <row r="485" ht="28.8" spans="1:10">
      <c r="A485" s="12" t="e">
        <f t="shared" si="17"/>
        <v>#REF!</v>
      </c>
      <c r="B485" s="12"/>
      <c r="C485" s="13" t="s">
        <v>1032</v>
      </c>
      <c r="D485" s="14" t="s">
        <v>11</v>
      </c>
      <c r="E485" s="14" t="s">
        <v>24</v>
      </c>
      <c r="F485" s="13" t="s">
        <v>606</v>
      </c>
      <c r="G485" s="12" t="s">
        <v>34</v>
      </c>
      <c r="H485" s="15"/>
      <c r="I485" s="15"/>
      <c r="J485" s="15">
        <f t="shared" si="16"/>
        <v>0</v>
      </c>
    </row>
    <row r="486" ht="28.8" spans="1:10">
      <c r="A486" s="12" t="e">
        <f t="shared" si="17"/>
        <v>#REF!</v>
      </c>
      <c r="B486" s="12"/>
      <c r="C486" s="13" t="s">
        <v>1032</v>
      </c>
      <c r="D486" s="14" t="s">
        <v>20</v>
      </c>
      <c r="E486" s="14" t="s">
        <v>47</v>
      </c>
      <c r="F486" s="13" t="s">
        <v>50</v>
      </c>
      <c r="G486" s="12" t="s">
        <v>49</v>
      </c>
      <c r="H486" s="15"/>
      <c r="I486" s="15"/>
      <c r="J486" s="15">
        <f t="shared" si="16"/>
        <v>0</v>
      </c>
    </row>
    <row r="487" ht="28.8" spans="1:10">
      <c r="A487" s="12" t="e">
        <f t="shared" si="17"/>
        <v>#REF!</v>
      </c>
      <c r="B487" s="12"/>
      <c r="C487" s="13" t="s">
        <v>1032</v>
      </c>
      <c r="D487" s="14" t="s">
        <v>20</v>
      </c>
      <c r="E487" s="14" t="s">
        <v>61</v>
      </c>
      <c r="F487" s="13" t="s">
        <v>78</v>
      </c>
      <c r="G487" s="12" t="s">
        <v>49</v>
      </c>
      <c r="H487" s="15"/>
      <c r="I487" s="15"/>
      <c r="J487" s="15">
        <f t="shared" si="16"/>
        <v>0</v>
      </c>
    </row>
    <row r="488" ht="28.8" spans="1:10">
      <c r="A488" s="12" t="e">
        <f t="shared" si="17"/>
        <v>#REF!</v>
      </c>
      <c r="B488" s="12"/>
      <c r="C488" s="13" t="s">
        <v>1032</v>
      </c>
      <c r="D488" s="14" t="s">
        <v>20</v>
      </c>
      <c r="E488" s="14" t="s">
        <v>61</v>
      </c>
      <c r="F488" s="13" t="s">
        <v>607</v>
      </c>
      <c r="G488" s="12" t="s">
        <v>23</v>
      </c>
      <c r="H488" s="15"/>
      <c r="I488" s="15"/>
      <c r="J488" s="15">
        <f t="shared" si="16"/>
        <v>0</v>
      </c>
    </row>
    <row r="489" ht="28.8" spans="1:10">
      <c r="A489" s="12" t="e">
        <f t="shared" si="17"/>
        <v>#REF!</v>
      </c>
      <c r="B489" s="12"/>
      <c r="C489" s="13" t="s">
        <v>1032</v>
      </c>
      <c r="D489" s="14" t="s">
        <v>20</v>
      </c>
      <c r="E489" s="14" t="s">
        <v>84</v>
      </c>
      <c r="F489" s="13" t="s">
        <v>86</v>
      </c>
      <c r="G489" s="12" t="s">
        <v>49</v>
      </c>
      <c r="H489" s="15"/>
      <c r="I489" s="15"/>
      <c r="J489" s="15">
        <f t="shared" si="16"/>
        <v>0</v>
      </c>
    </row>
    <row r="490" ht="28.8" spans="1:10">
      <c r="A490" s="12" t="e">
        <f t="shared" si="17"/>
        <v>#REF!</v>
      </c>
      <c r="B490" s="12"/>
      <c r="C490" s="13" t="s">
        <v>1032</v>
      </c>
      <c r="D490" s="14" t="s">
        <v>20</v>
      </c>
      <c r="E490" s="14" t="s">
        <v>84</v>
      </c>
      <c r="F490" s="13" t="s">
        <v>88</v>
      </c>
      <c r="G490" s="12" t="s">
        <v>49</v>
      </c>
      <c r="H490" s="15"/>
      <c r="I490" s="15"/>
      <c r="J490" s="15">
        <f t="shared" si="16"/>
        <v>0</v>
      </c>
    </row>
    <row r="491" ht="28.8" spans="1:10">
      <c r="A491" s="12" t="e">
        <f t="shared" si="17"/>
        <v>#REF!</v>
      </c>
      <c r="B491" s="12"/>
      <c r="C491" s="13" t="s">
        <v>1032</v>
      </c>
      <c r="D491" s="14" t="s">
        <v>20</v>
      </c>
      <c r="E491" s="14" t="s">
        <v>84</v>
      </c>
      <c r="F491" s="13" t="s">
        <v>89</v>
      </c>
      <c r="G491" s="12" t="s">
        <v>49</v>
      </c>
      <c r="H491" s="15"/>
      <c r="I491" s="15"/>
      <c r="J491" s="15">
        <f t="shared" si="16"/>
        <v>0</v>
      </c>
    </row>
    <row r="492" ht="28.8" spans="1:10">
      <c r="A492" s="12" t="e">
        <f t="shared" si="17"/>
        <v>#REF!</v>
      </c>
      <c r="B492" s="12"/>
      <c r="C492" s="13" t="s">
        <v>1032</v>
      </c>
      <c r="D492" s="14" t="s">
        <v>20</v>
      </c>
      <c r="E492" s="14" t="s">
        <v>84</v>
      </c>
      <c r="F492" s="13" t="s">
        <v>608</v>
      </c>
      <c r="G492" s="12" t="s">
        <v>100</v>
      </c>
      <c r="H492" s="15"/>
      <c r="I492" s="15"/>
      <c r="J492" s="15">
        <f t="shared" si="16"/>
        <v>0</v>
      </c>
    </row>
    <row r="493" ht="28.8" spans="1:10">
      <c r="A493" s="12" t="e">
        <f t="shared" si="17"/>
        <v>#REF!</v>
      </c>
      <c r="B493" s="12"/>
      <c r="C493" s="13" t="s">
        <v>1032</v>
      </c>
      <c r="D493" s="14" t="s">
        <v>20</v>
      </c>
      <c r="E493" s="14" t="s">
        <v>84</v>
      </c>
      <c r="F493" s="13" t="s">
        <v>610</v>
      </c>
      <c r="G493" s="12" t="s">
        <v>611</v>
      </c>
      <c r="H493" s="15"/>
      <c r="I493" s="15"/>
      <c r="J493" s="15">
        <f t="shared" si="16"/>
        <v>0</v>
      </c>
    </row>
    <row r="494" ht="28.8" spans="1:10">
      <c r="A494" s="12" t="e">
        <f t="shared" si="17"/>
        <v>#REF!</v>
      </c>
      <c r="B494" s="12"/>
      <c r="C494" s="13" t="s">
        <v>1032</v>
      </c>
      <c r="D494" s="14" t="s">
        <v>20</v>
      </c>
      <c r="E494" s="14" t="s">
        <v>84</v>
      </c>
      <c r="F494" s="13" t="s">
        <v>612</v>
      </c>
      <c r="G494" s="12" t="s">
        <v>611</v>
      </c>
      <c r="H494" s="15"/>
      <c r="I494" s="15"/>
      <c r="J494" s="15">
        <f t="shared" si="16"/>
        <v>0</v>
      </c>
    </row>
    <row r="495" ht="28.8" spans="1:10">
      <c r="A495" s="12" t="e">
        <f t="shared" si="17"/>
        <v>#REF!</v>
      </c>
      <c r="B495" s="12"/>
      <c r="C495" s="13" t="s">
        <v>1032</v>
      </c>
      <c r="D495" s="14" t="s">
        <v>20</v>
      </c>
      <c r="E495" s="14" t="s">
        <v>84</v>
      </c>
      <c r="F495" s="13" t="s">
        <v>684</v>
      </c>
      <c r="G495" s="12" t="s">
        <v>23</v>
      </c>
      <c r="H495" s="15"/>
      <c r="I495" s="15"/>
      <c r="J495" s="15">
        <f t="shared" si="16"/>
        <v>0</v>
      </c>
    </row>
    <row r="496" ht="28.8" spans="1:10">
      <c r="A496" s="12" t="e">
        <f t="shared" si="17"/>
        <v>#REF!</v>
      </c>
      <c r="B496" s="12"/>
      <c r="C496" s="13" t="s">
        <v>1034</v>
      </c>
      <c r="D496" s="14" t="s">
        <v>20</v>
      </c>
      <c r="E496" s="14" t="s">
        <v>47</v>
      </c>
      <c r="F496" s="13" t="s">
        <v>48</v>
      </c>
      <c r="G496" s="12" t="s">
        <v>49</v>
      </c>
      <c r="H496" s="15"/>
      <c r="I496" s="15"/>
      <c r="J496" s="15">
        <f t="shared" si="16"/>
        <v>0</v>
      </c>
    </row>
    <row r="497" ht="28.8" spans="1:11">
      <c r="A497" s="12" t="e">
        <f t="shared" si="17"/>
        <v>#REF!</v>
      </c>
      <c r="B497" s="12"/>
      <c r="C497" s="13" t="s">
        <v>1034</v>
      </c>
      <c r="D497" s="14" t="s">
        <v>20</v>
      </c>
      <c r="E497" s="14" t="s">
        <v>624</v>
      </c>
      <c r="F497" s="13" t="s">
        <v>625</v>
      </c>
      <c r="G497" s="12" t="s">
        <v>23</v>
      </c>
      <c r="H497" s="15"/>
      <c r="I497" s="15"/>
      <c r="J497" s="15">
        <f t="shared" si="16"/>
        <v>0</v>
      </c>
    </row>
    <row r="498" ht="28.8" spans="1:11">
      <c r="A498" s="12" t="e">
        <f t="shared" si="17"/>
        <v>#REF!</v>
      </c>
      <c r="B498" s="12"/>
      <c r="C498" s="13" t="s">
        <v>1034</v>
      </c>
      <c r="D498" s="14" t="s">
        <v>20</v>
      </c>
      <c r="E498" s="14" t="s">
        <v>624</v>
      </c>
      <c r="F498" s="13" t="s">
        <v>626</v>
      </c>
      <c r="G498" s="12" t="s">
        <v>23</v>
      </c>
      <c r="H498" s="15"/>
      <c r="I498" s="15"/>
      <c r="J498" s="15">
        <f t="shared" si="16"/>
        <v>0</v>
      </c>
    </row>
    <row r="499" ht="28.8" spans="1:11">
      <c r="A499" s="12" t="e">
        <f t="shared" si="17"/>
        <v>#REF!</v>
      </c>
      <c r="B499" s="12"/>
      <c r="C499" s="13" t="s">
        <v>1034</v>
      </c>
      <c r="D499" s="14" t="s">
        <v>20</v>
      </c>
      <c r="E499" s="14" t="s">
        <v>624</v>
      </c>
      <c r="F499" s="13" t="s">
        <v>627</v>
      </c>
      <c r="G499" s="12" t="s">
        <v>23</v>
      </c>
      <c r="H499" s="15"/>
      <c r="I499" s="15"/>
      <c r="J499" s="15">
        <f t="shared" si="16"/>
        <v>0</v>
      </c>
    </row>
    <row r="500" ht="28.8" spans="1:11">
      <c r="A500" s="12" t="e">
        <f t="shared" si="17"/>
        <v>#REF!</v>
      </c>
      <c r="B500" s="12"/>
      <c r="C500" s="13" t="s">
        <v>1034</v>
      </c>
      <c r="D500" s="14" t="s">
        <v>20</v>
      </c>
      <c r="E500" s="14" t="s">
        <v>624</v>
      </c>
      <c r="F500" s="13" t="s">
        <v>628</v>
      </c>
      <c r="G500" s="12" t="s">
        <v>23</v>
      </c>
      <c r="H500" s="15"/>
      <c r="I500" s="15"/>
      <c r="J500" s="15">
        <f t="shared" si="16"/>
        <v>0</v>
      </c>
    </row>
    <row r="501" ht="28.8" spans="1:11">
      <c r="A501" s="12" t="e">
        <f t="shared" si="17"/>
        <v>#REF!</v>
      </c>
      <c r="B501" s="12"/>
      <c r="C501" s="13" t="s">
        <v>1034</v>
      </c>
      <c r="D501" s="14" t="s">
        <v>20</v>
      </c>
      <c r="E501" s="14" t="s">
        <v>624</v>
      </c>
      <c r="F501" s="13" t="s">
        <v>629</v>
      </c>
      <c r="G501" s="12" t="s">
        <v>23</v>
      </c>
      <c r="H501" s="15"/>
      <c r="I501" s="15"/>
      <c r="J501" s="15">
        <f t="shared" si="16"/>
        <v>0</v>
      </c>
    </row>
    <row r="502" ht="28.8" spans="1:11">
      <c r="A502" s="12" t="e">
        <f t="shared" si="17"/>
        <v>#REF!</v>
      </c>
      <c r="B502" s="12"/>
      <c r="C502" s="13" t="s">
        <v>1034</v>
      </c>
      <c r="D502" s="14" t="s">
        <v>11</v>
      </c>
      <c r="E502" s="14" t="s">
        <v>630</v>
      </c>
      <c r="F502" s="13" t="s">
        <v>631</v>
      </c>
      <c r="G502" s="12" t="s">
        <v>17</v>
      </c>
      <c r="H502" s="15"/>
      <c r="I502" s="15"/>
      <c r="J502" s="15">
        <f t="shared" si="16"/>
        <v>0</v>
      </c>
    </row>
    <row r="503" spans="1:11">
      <c r="A503" s="12" t="e">
        <f>1+#REF!</f>
        <v>#REF!</v>
      </c>
      <c r="B503" s="12"/>
      <c r="C503" s="13" t="s">
        <v>1094</v>
      </c>
      <c r="D503" s="14" t="s">
        <v>20</v>
      </c>
      <c r="E503" s="14" t="s">
        <v>114</v>
      </c>
      <c r="F503" s="13" t="s">
        <v>579</v>
      </c>
      <c r="G503" s="12" t="s">
        <v>23</v>
      </c>
      <c r="H503" s="15"/>
      <c r="I503" s="15"/>
      <c r="J503" s="15">
        <f t="shared" si="16"/>
        <v>0</v>
      </c>
    </row>
    <row r="504" spans="1:11">
      <c r="A504" s="12" t="e">
        <f>1+A503</f>
        <v>#REF!</v>
      </c>
      <c r="B504" s="12"/>
      <c r="C504" s="13" t="s">
        <v>1096</v>
      </c>
      <c r="D504" s="14" t="s">
        <v>20</v>
      </c>
      <c r="E504" s="14" t="s">
        <v>114</v>
      </c>
      <c r="F504" s="13" t="s">
        <v>579</v>
      </c>
      <c r="G504" s="12" t="s">
        <v>23</v>
      </c>
      <c r="H504" s="15"/>
      <c r="I504" s="15"/>
      <c r="J504" s="15">
        <f t="shared" si="16"/>
        <v>0</v>
      </c>
    </row>
    <row r="505" spans="1:11">
      <c r="A505" s="12" t="e">
        <f>1+A504</f>
        <v>#REF!</v>
      </c>
      <c r="B505" s="12"/>
      <c r="C505" s="13" t="s">
        <v>1098</v>
      </c>
      <c r="D505" s="14" t="s">
        <v>20</v>
      </c>
      <c r="E505" s="14" t="s">
        <v>114</v>
      </c>
      <c r="F505" s="13" t="s">
        <v>579</v>
      </c>
      <c r="G505" s="12" t="s">
        <v>23</v>
      </c>
      <c r="H505" s="15"/>
      <c r="I505" s="15"/>
      <c r="J505" s="15">
        <f t="shared" si="16"/>
        <v>0</v>
      </c>
    </row>
    <row r="506" spans="1:11">
      <c r="A506" s="12" t="e">
        <f>1+A505</f>
        <v>#REF!</v>
      </c>
      <c r="B506" s="12"/>
      <c r="C506" s="13" t="s">
        <v>1100</v>
      </c>
      <c r="D506" s="14" t="s">
        <v>20</v>
      </c>
      <c r="E506" s="14" t="s">
        <v>114</v>
      </c>
      <c r="F506" s="13" t="s">
        <v>579</v>
      </c>
      <c r="G506" s="12" t="s">
        <v>23</v>
      </c>
      <c r="H506" s="15"/>
      <c r="I506" s="15"/>
      <c r="J506" s="15">
        <f t="shared" si="16"/>
        <v>0</v>
      </c>
    </row>
    <row r="507" spans="1:11">
      <c r="A507" s="12" t="e">
        <f>1+A506</f>
        <v>#REF!</v>
      </c>
      <c r="J507" s="16" t="s">
        <v>1156</v>
      </c>
      <c r="K507" s="17">
        <v>588988776.090001</v>
      </c>
    </row>
  </sheetData>
  <mergeCells count="1">
    <mergeCell ref="A1:J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Site Office Establishment</vt:lpstr>
      <vt:lpstr>EHS</vt:lpstr>
      <vt:lpstr>P&amp;M</vt:lpstr>
      <vt:lpstr>Labour Camp</vt:lpstr>
      <vt:lpstr>QAQC</vt:lpstr>
      <vt:lpstr>Test</vt:lpstr>
      <vt:lpstr>Repair &amp; Maintenance</vt:lpstr>
      <vt:lpstr>Sotre &amp; Purchase </vt:lpstr>
      <vt:lpstr>Tower-1</vt:lpstr>
      <vt:lpstr>sheet1 (4)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2026-01-05T13:44:00Z</dcterms:created>
  <dcterms:modified xsi:type="dcterms:W3CDTF">2026-05-06T06:41:19Z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302801595A3B41DD92D2311AC478CEF3_12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